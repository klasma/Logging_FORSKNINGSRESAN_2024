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Östra Luspenåivve</t>
        </is>
      </c>
      <c r="B2" t="inlineStr">
        <is>
          <t>avverkningsanmälan</t>
        </is>
      </c>
      <c r="D2" s="1" t="n">
        <v>46222</v>
      </c>
      <c r="E2" s="1" t="n">
        <v>46222</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HYPERLINK("https://klasma.github.io/Logging_FORSKNINGSRESAN_2024/kartor_geotiff/Östra Luspenåivve georefererad karta.tif", "Östra Luspenåivve")</f>
        <v/>
      </c>
      <c r="Y2">
        <f>HYPERLINK("https://klasma.github.io/Logging_FORSKNINGSRESAN_2024/knärot/Östra Luspenåivve karta knärot.png", "Östra Luspenåivve")</f>
        <v/>
      </c>
      <c r="Z2">
        <f>HYPERLINK("https://klasma.github.io/Logging_FORSKNINGSRESAN_2024/klagomål/Östra Luspenåivve FSC-klagomål.docx", "Östra Luspenåivve")</f>
        <v/>
      </c>
      <c r="AA2">
        <f>HYPERLINK("https://klasma.github.io/Logging_FORSKNINGSRESAN_2024/klagomålsmail/Östra Luspenåivve FSC-klagomål mail.docx", "Östra Luspenåivve")</f>
        <v/>
      </c>
      <c r="AB2">
        <f>HYPERLINK("https://klasma.github.io/Logging_FORSKNINGSRESAN_2024/tillsyn/Östra Luspenåivve tillsynsbegäran.docx", "Östra Luspenåivve")</f>
        <v/>
      </c>
      <c r="AC2">
        <f>HYPERLINK("https://klasma.github.io/Logging_FORSKNINGSRESAN_2024/tillsynsmail/Östra Luspenåivve tillsynsbegäran mail.docx", "Östra Luspenåivve")</f>
        <v/>
      </c>
      <c r="AD2">
        <f>HYPERLINK("https://klasma.github.io/Logging_FORSKNINGSRESAN_2024/fåglar/Östra Luspenåivve prioriterade fågelarter.docx", "Östra Luspenåivve")</f>
        <v/>
      </c>
    </row>
    <row r="3" ht="15" customHeight="1">
      <c r="A3" t="inlineStr">
        <is>
          <t>Björnideforsen C</t>
        </is>
      </c>
      <c r="B3" t="inlineStr">
        <is>
          <t>avverkningsanmälan</t>
        </is>
      </c>
      <c r="D3" s="1" t="n">
        <v>46222</v>
      </c>
      <c r="E3" s="1" t="n">
        <v>46222</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HYPERLINK("https://klasma.github.io/Logging_FORSKNINGSRESAN_2024/kartor_geotiff/Björnideforsen C georefererad karta.tif", "Björnideforsen C")</f>
        <v/>
      </c>
      <c r="Y3">
        <f>HYPERLINK("https://klasma.github.io/Logging_FORSKNINGSRESAN_2024/knärot/Björnideforsen C karta knärot.png", "Björnideforsen C")</f>
        <v/>
      </c>
      <c r="Z3">
        <f>HYPERLINK("https://klasma.github.io/Logging_FORSKNINGSRESAN_2024/klagomål/Björnideforsen C FSC-klagomål.docx", "Björnideforsen C")</f>
        <v/>
      </c>
      <c r="AA3">
        <f>HYPERLINK("https://klasma.github.io/Logging_FORSKNINGSRESAN_2024/klagomålsmail/Björnideforsen C FSC-klagomål mail.docx", "Björnideforsen C")</f>
        <v/>
      </c>
      <c r="AB3">
        <f>HYPERLINK("https://klasma.github.io/Logging_FORSKNINGSRESAN_2024/tillsyn/Björnideforsen C tillsynsbegäran.docx", "Björnideforsen C")</f>
        <v/>
      </c>
      <c r="AC3">
        <f>HYPERLINK("https://klasma.github.io/Logging_FORSKNINGSRESAN_2024/tillsynsmail/Björnideforsen C tillsynsbegäran mail.docx", "Björnideforsen C")</f>
        <v/>
      </c>
      <c r="AD3">
        <f>HYPERLINK("https://klasma.github.io/Logging_FORSKNINGSRESAN_2024/fåglar/Björnideforsen C prioriterade fågelarter.docx", "Björnideforsen C")</f>
        <v/>
      </c>
    </row>
    <row r="4" ht="15" customHeight="1">
      <c r="A4" t="inlineStr">
        <is>
          <t>Slaktarberget</t>
        </is>
      </c>
      <c r="B4" t="inlineStr">
        <is>
          <t>avverkningsanmälan</t>
        </is>
      </c>
      <c r="D4" s="1" t="n">
        <v>46222</v>
      </c>
      <c r="E4" s="1" t="n">
        <v>46222</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HYPERLINK("https://klasma.github.io/Logging_FORSKNINGSRESAN_2024/kartor_geotiff/Slaktarberget georefererad karta.tif", "Slaktarberget")</f>
        <v/>
      </c>
      <c r="Y4">
        <f>HYPERLINK("https://klasma.github.io/Logging_FORSKNINGSRESAN_2024/knärot/Slaktarberget karta knärot.png", "Slaktarberget")</f>
        <v/>
      </c>
      <c r="Z4">
        <f>HYPERLINK("https://klasma.github.io/Logging_FORSKNINGSRESAN_2024/klagomål/Slaktarberget FSC-klagomål.docx", "Slaktarberget")</f>
        <v/>
      </c>
      <c r="AA4">
        <f>HYPERLINK("https://klasma.github.io/Logging_FORSKNINGSRESAN_2024/klagomålsmail/Slaktarberget FSC-klagomål mail.docx", "Slaktarberget")</f>
        <v/>
      </c>
      <c r="AB4">
        <f>HYPERLINK("https://klasma.github.io/Logging_FORSKNINGSRESAN_2024/tillsyn/Slaktarberget tillsynsbegäran.docx", "Slaktarberget")</f>
        <v/>
      </c>
      <c r="AC4">
        <f>HYPERLINK("https://klasma.github.io/Logging_FORSKNINGSRESAN_2024/tillsynsmail/Slaktarberget tillsynsbegäran mail.docx", "Slaktarberget")</f>
        <v/>
      </c>
      <c r="AD4">
        <f>HYPERLINK("https://klasma.github.io/Logging_FORSKNINGSRESAN_2024/fåglar/Slaktarberget prioriterade fågelarter.docx", "Slaktarberget")</f>
        <v/>
      </c>
    </row>
    <row r="5" ht="15" customHeight="1">
      <c r="A5" t="inlineStr">
        <is>
          <t>Stenberget-Klockartjärnen</t>
        </is>
      </c>
      <c r="B5" t="inlineStr">
        <is>
          <t>avverkningsanmälan</t>
        </is>
      </c>
      <c r="D5" s="1" t="n">
        <v>46222</v>
      </c>
      <c r="E5" s="1" t="n">
        <v>46222</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X5">
        <f>HYPERLINK("https://klasma.github.io/Logging_FORSKNINGSRESAN_2024/kartor_geotiff/Stenberget-Klockartjärnen georefererad karta.tif", "Stenberget-Klockartjärnen")</f>
        <v/>
      </c>
      <c r="Z5">
        <f>HYPERLINK("https://klasma.github.io/Logging_FORSKNINGSRESAN_2024/klagomål/Stenberget-Klockartjärnen FSC-klagomål.docx", "Stenberget-Klockartjärnen")</f>
        <v/>
      </c>
      <c r="AA5">
        <f>HYPERLINK("https://klasma.github.io/Logging_FORSKNINGSRESAN_2024/klagomålsmail/Stenberget-Klockartjärnen FSC-klagomål mail.docx", "Stenberget-Klockartjärnen")</f>
        <v/>
      </c>
      <c r="AB5">
        <f>HYPERLINK("https://klasma.github.io/Logging_FORSKNINGSRESAN_2024/tillsyn/Stenberget-Klockartjärnen tillsynsbegäran.docx", "Stenberget-Klockartjärnen")</f>
        <v/>
      </c>
      <c r="AC5">
        <f>HYPERLINK("https://klasma.github.io/Logging_FORSKNINGSRESAN_2024/tillsynsmail/Stenberget-Klockartjärnen tillsynsbegäran mail.docx", "Stenberget-Klockartjärnen")</f>
        <v/>
      </c>
      <c r="AD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46222</v>
      </c>
      <c r="E6" s="1" t="n">
        <v>46222</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X6">
        <f>HYPERLINK("https://klasma.github.io/Logging_FORSKNINGSRESAN_2024/kartor_geotiff/Suddiesjávrrie georefererad karta.tif", "Suddiesjávrrie")</f>
        <v/>
      </c>
      <c r="Z6">
        <f>HYPERLINK("https://klasma.github.io/Logging_FORSKNINGSRESAN_2024/klagomål/Suddiesjávrrie FSC-klagomål.docx", "Suddiesjávrrie")</f>
        <v/>
      </c>
      <c r="AA6">
        <f>HYPERLINK("https://klasma.github.io/Logging_FORSKNINGSRESAN_2024/klagomålsmail/Suddiesjávrrie FSC-klagomål mail.docx", "Suddiesjávrrie")</f>
        <v/>
      </c>
      <c r="AB6">
        <f>HYPERLINK("https://klasma.github.io/Logging_FORSKNINGSRESAN_2024/tillsyn/Suddiesjávrrie tillsynsbegäran.docx", "Suddiesjávrrie")</f>
        <v/>
      </c>
      <c r="AC6">
        <f>HYPERLINK("https://klasma.github.io/Logging_FORSKNINGSRESAN_2024/tillsynsmail/Suddiesjávrrie tillsynsbegäran mail.docx", "Suddiesjávrrie")</f>
        <v/>
      </c>
      <c r="AD6">
        <f>HYPERLINK("https://klasma.github.io/Logging_FORSKNINGSRESAN_2024/fåglar/Suddiesjávrrie prioriterade fågelarter.docx", "Suddiesjávrrie")</f>
        <v/>
      </c>
    </row>
    <row r="7" ht="15" customHeight="1">
      <c r="A7" t="inlineStr">
        <is>
          <t>Suöbdieke NÖ</t>
        </is>
      </c>
      <c r="B7" t="inlineStr">
        <is>
          <t>avverkningsanmälan</t>
        </is>
      </c>
      <c r="D7" s="1" t="n">
        <v>46222</v>
      </c>
      <c r="E7" s="1" t="n">
        <v>46222</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X7">
        <f>HYPERLINK("https://klasma.github.io/Logging_FORSKNINGSRESAN_2024/kartor_geotiff/Suöbdieke NÖ georefererad karta.tif", "Suöbdieke NÖ")</f>
        <v/>
      </c>
      <c r="Z7">
        <f>HYPERLINK("https://klasma.github.io/Logging_FORSKNINGSRESAN_2024/klagomål/Suöbdieke NÖ FSC-klagomål.docx", "Suöbdieke NÖ")</f>
        <v/>
      </c>
      <c r="AA7">
        <f>HYPERLINK("https://klasma.github.io/Logging_FORSKNINGSRESAN_2024/klagomålsmail/Suöbdieke NÖ FSC-klagomål mail.docx", "Suöbdieke NÖ")</f>
        <v/>
      </c>
      <c r="AB7">
        <f>HYPERLINK("https://klasma.github.io/Logging_FORSKNINGSRESAN_2024/tillsyn/Suöbdieke NÖ tillsynsbegäran.docx", "Suöbdieke NÖ")</f>
        <v/>
      </c>
      <c r="AC7">
        <f>HYPERLINK("https://klasma.github.io/Logging_FORSKNINGSRESAN_2024/tillsynsmail/Suöbdieke NÖ tillsynsbegäran mail.docx", "Suöbdieke NÖ")</f>
        <v/>
      </c>
      <c r="AD7">
        <f>HYPERLINK("https://klasma.github.io/Logging_FORSKNINGSRESAN_2024/fåglar/Suöbdieke NÖ prioriterade fågelarter.docx", "Suöbdieke NÖ")</f>
        <v/>
      </c>
    </row>
    <row r="8" ht="15" customHeight="1">
      <c r="A8" t="inlineStr">
        <is>
          <t>Björnideforsen B</t>
        </is>
      </c>
      <c r="B8" t="inlineStr">
        <is>
          <t>avverkningsanmälan</t>
        </is>
      </c>
      <c r="D8" s="1" t="n">
        <v>46222</v>
      </c>
      <c r="E8" s="1" t="n">
        <v>46222</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X8">
        <f>HYPERLINK("https://klasma.github.io/Logging_FORSKNINGSRESAN_2024/kartor_geotiff/Björnideforsen B georefererad karta.tif", "Björnideforsen B")</f>
        <v/>
      </c>
      <c r="Z8">
        <f>HYPERLINK("https://klasma.github.io/Logging_FORSKNINGSRESAN_2024/klagomål/Björnideforsen B FSC-klagomål.docx", "Björnideforsen B")</f>
        <v/>
      </c>
      <c r="AA8">
        <f>HYPERLINK("https://klasma.github.io/Logging_FORSKNINGSRESAN_2024/klagomålsmail/Björnideforsen B FSC-klagomål mail.docx", "Björnideforsen B")</f>
        <v/>
      </c>
      <c r="AB8">
        <f>HYPERLINK("https://klasma.github.io/Logging_FORSKNINGSRESAN_2024/tillsyn/Björnideforsen B tillsynsbegäran.docx", "Björnideforsen B")</f>
        <v/>
      </c>
      <c r="AC8">
        <f>HYPERLINK("https://klasma.github.io/Logging_FORSKNINGSRESAN_2024/tillsynsmail/Björnideforsen B tillsynsbegäran mail.docx", "Björnideforsen B")</f>
        <v/>
      </c>
      <c r="AD8">
        <f>HYPERLINK("https://klasma.github.io/Logging_FORSKNINGSRESAN_2024/fåglar/Björnideforsen B prioriterade fågelarter.docx", "Björnideforsen B")</f>
        <v/>
      </c>
    </row>
    <row r="9" ht="15" customHeight="1">
      <c r="A9" t="inlineStr">
        <is>
          <t>Avvanm 36411</t>
        </is>
      </c>
      <c r="B9" t="inlineStr">
        <is>
          <t>avverkningsanmälan</t>
        </is>
      </c>
      <c r="D9" s="1" t="n">
        <v>46222</v>
      </c>
      <c r="E9" s="1" t="n">
        <v>46222</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X9">
        <f>HYPERLINK("https://klasma.github.io/Logging_FORSKNINGSRESAN_2024/kartor_geotiff/Avvanm 36411 georefererad karta.tif", "Avvanm 36411")</f>
        <v/>
      </c>
      <c r="Z9">
        <f>HYPERLINK("https://klasma.github.io/Logging_FORSKNINGSRESAN_2024/klagomål/Avvanm 36411 FSC-klagomål.docx", "Avvanm 36411")</f>
        <v/>
      </c>
      <c r="AA9">
        <f>HYPERLINK("https://klasma.github.io/Logging_FORSKNINGSRESAN_2024/klagomålsmail/Avvanm 36411 FSC-klagomål mail.docx", "Avvanm 36411")</f>
        <v/>
      </c>
      <c r="AB9">
        <f>HYPERLINK("https://klasma.github.io/Logging_FORSKNINGSRESAN_2024/tillsyn/Avvanm 36411 tillsynsbegäran.docx", "Avvanm 36411")</f>
        <v/>
      </c>
      <c r="AC9">
        <f>HYPERLINK("https://klasma.github.io/Logging_FORSKNINGSRESAN_2024/tillsynsmail/Avvanm 36411 tillsynsbegäran mail.docx", "Avvanm 36411")</f>
        <v/>
      </c>
      <c r="AD9">
        <f>HYPERLINK("https://klasma.github.io/Logging_FORSKNINGSRESAN_2024/fåglar/Avvanm 36411 prioriterade fågelarter.docx", "Avvanm 36411")</f>
        <v/>
      </c>
    </row>
    <row r="10" ht="15" customHeight="1">
      <c r="A10" t="inlineStr">
        <is>
          <t>Björnideforsen A</t>
        </is>
      </c>
      <c r="B10" t="inlineStr">
        <is>
          <t>avverkningsanmälan</t>
        </is>
      </c>
      <c r="D10" s="1" t="n">
        <v>46222</v>
      </c>
      <c r="E10" s="1" t="n">
        <v>46222</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X10">
        <f>HYPERLINK("https://klasma.github.io/Logging_FORSKNINGSRESAN_2024/kartor_geotiff/Björnideforsen A georefererad karta.tif", "Björnideforsen A")</f>
        <v/>
      </c>
      <c r="Z10">
        <f>HYPERLINK("https://klasma.github.io/Logging_FORSKNINGSRESAN_2024/klagomål/Björnideforsen A FSC-klagomål.docx", "Björnideforsen A")</f>
        <v/>
      </c>
      <c r="AA10">
        <f>HYPERLINK("https://klasma.github.io/Logging_FORSKNINGSRESAN_2024/klagomålsmail/Björnideforsen A FSC-klagomål mail.docx", "Björnideforsen A")</f>
        <v/>
      </c>
      <c r="AB10">
        <f>HYPERLINK("https://klasma.github.io/Logging_FORSKNINGSRESAN_2024/tillsyn/Björnideforsen A tillsynsbegäran.docx", "Björnideforsen A")</f>
        <v/>
      </c>
      <c r="AC10">
        <f>HYPERLINK("https://klasma.github.io/Logging_FORSKNINGSRESAN_2024/tillsynsmail/Björnideforsen A tillsynsbegäran mail.docx", "Björnideforsen A")</f>
        <v/>
      </c>
      <c r="AD10">
        <f>HYPERLINK("https://klasma.github.io/Logging_FORSKNINGSRESAN_2024/fåglar/Björnideforsen A prioriterade fågelarter.docx", "Björnideforsen A")</f>
        <v/>
      </c>
    </row>
    <row r="11" ht="15" customHeight="1">
      <c r="A11" t="inlineStr">
        <is>
          <t>Njuorokvárátj</t>
        </is>
      </c>
      <c r="B11" t="inlineStr">
        <is>
          <t>avverkningsanmälan</t>
        </is>
      </c>
      <c r="D11" s="1" t="n">
        <v>46222</v>
      </c>
      <c r="E11" s="1" t="n">
        <v>46222</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X11">
        <f>HYPERLINK("https://klasma.github.io/Logging_FORSKNINGSRESAN_2024/kartor_geotiff/Njuorokvárátj georefererad karta.tif", "Njuorokvárátj")</f>
        <v/>
      </c>
      <c r="Z11">
        <f>HYPERLINK("https://klasma.github.io/Logging_FORSKNINGSRESAN_2024/klagomål/Njuorokvárátj FSC-klagomål.docx", "Njuorokvárátj")</f>
        <v/>
      </c>
      <c r="AA11">
        <f>HYPERLINK("https://klasma.github.io/Logging_FORSKNINGSRESAN_2024/klagomålsmail/Njuorokvárátj FSC-klagomål mail.docx", "Njuorokvárátj")</f>
        <v/>
      </c>
      <c r="AB11">
        <f>HYPERLINK("https://klasma.github.io/Logging_FORSKNINGSRESAN_2024/tillsyn/Njuorokvárátj tillsynsbegäran.docx", "Njuorokvárátj")</f>
        <v/>
      </c>
      <c r="AC11">
        <f>HYPERLINK("https://klasma.github.io/Logging_FORSKNINGSRESAN_2024/tillsynsmail/Njuorokvárátj tillsynsbegäran mail.docx", "Njuorokvárátj")</f>
        <v/>
      </c>
      <c r="AD11">
        <f>HYPERLINK("https://klasma.github.io/Logging_FORSKNINGSRESAN_2024/fåglar/Njuorokvárátj prioriterade fågelarter.docx", "Njuorokvárátj")</f>
        <v/>
      </c>
    </row>
    <row r="12" ht="15" customHeight="1">
      <c r="A12" t="inlineStr">
        <is>
          <t>Gåbddieluoktta</t>
        </is>
      </c>
      <c r="B12" t="inlineStr">
        <is>
          <t>avverkningsanmälan</t>
        </is>
      </c>
      <c r="D12" s="1" t="n">
        <v>46222</v>
      </c>
      <c r="E12" s="1" t="n">
        <v>46222</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X12">
        <f>HYPERLINK("https://klasma.github.io/Logging_FORSKNINGSRESAN_2024/kartor_geotiff/Gåbddieluoktta georefererad karta.tif", "Gåbddieluoktta")</f>
        <v/>
      </c>
      <c r="Z12">
        <f>HYPERLINK("https://klasma.github.io/Logging_FORSKNINGSRESAN_2024/klagomål/Gåbddieluoktta FSC-klagomål.docx", "Gåbddieluoktta")</f>
        <v/>
      </c>
      <c r="AA12">
        <f>HYPERLINK("https://klasma.github.io/Logging_FORSKNINGSRESAN_2024/klagomålsmail/Gåbddieluoktta FSC-klagomål mail.docx", "Gåbddieluoktta")</f>
        <v/>
      </c>
      <c r="AB12">
        <f>HYPERLINK("https://klasma.github.io/Logging_FORSKNINGSRESAN_2024/tillsyn/Gåbddieluoktta tillsynsbegäran.docx", "Gåbddieluoktta")</f>
        <v/>
      </c>
      <c r="AC12">
        <f>HYPERLINK("https://klasma.github.io/Logging_FORSKNINGSRESAN_2024/tillsynsmail/Gåbddieluoktta tillsynsbegäran mail.docx", "Gåbddieluoktta")</f>
        <v/>
      </c>
      <c r="AD12">
        <f>HYPERLINK("https://klasma.github.io/Logging_FORSKNINGSRESAN_2024/fåglar/Gåbddieluoktta prioriterade fågelarter.docx", "Gåbddieluoktta")</f>
        <v/>
      </c>
    </row>
    <row r="13">
      <c r="A13" t="inlineStr">
        <is>
          <t>Láttakjávrátje</t>
        </is>
      </c>
      <c r="B13" t="inlineStr">
        <is>
          <t>avverkningsanmälan</t>
        </is>
      </c>
      <c r="D13" s="1" t="n">
        <v>46222</v>
      </c>
      <c r="E13" s="1" t="n">
        <v>46222</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X13">
        <f>HYPERLINK("https://klasma.github.io/Logging_FORSKNINGSRESAN_2024/kartor_geotiff/Láttakjávrátje georefererad karta.tif", "Láttakjávrátje")</f>
        <v/>
      </c>
      <c r="Z13">
        <f>HYPERLINK("https://klasma.github.io/Logging_FORSKNINGSRESAN_2024/klagomål/Láttakjávrátje FSC-klagomål.docx", "Láttakjávrátje")</f>
        <v/>
      </c>
      <c r="AA13">
        <f>HYPERLINK("https://klasma.github.io/Logging_FORSKNINGSRESAN_2024/klagomålsmail/Láttakjávrátje FSC-klagomål mail.docx", "Láttakjávrátje")</f>
        <v/>
      </c>
      <c r="AB13">
        <f>HYPERLINK("https://klasma.github.io/Logging_FORSKNINGSRESAN_2024/tillsyn/Láttakjávrátje tillsynsbegäran.docx", "Láttakjávrátje")</f>
        <v/>
      </c>
      <c r="AC13">
        <f>HYPERLINK("https://klasma.github.io/Logging_FORSKNINGSRESAN_2024/tillsynsmail/Láttakjávrátje tillsynsbegäran mail.docx", "Láttakjávrátje")</f>
        <v/>
      </c>
      <c r="AD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2026-07-19T15:29:06Z</dcterms:created>
  <dcterms:modified xmlns:dcterms="http://purl.org/dc/terms/" xmlns:xsi="http://www.w3.org/2001/XMLSchema-instance" xsi:type="dcterms:W3CDTF">2026-07-19T15:29:06Z</dcterms:modified>
</cp:coreProperties>
</file>
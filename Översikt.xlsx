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Antal fynd</t>
        </is>
      </c>
      <c r="U1" t="inlineStr">
        <is>
          <t>Artnamn</t>
        </is>
      </c>
      <c r="V1" t="inlineStr">
        <is>
          <t>Artfyndslänk</t>
        </is>
      </c>
      <c r="W1" t="inlineStr">
        <is>
          <t>Kartlänk</t>
        </is>
      </c>
      <c r="X1" t="inlineStr">
        <is>
          <t>Knärotsbuffertlänk</t>
        </is>
      </c>
      <c r="Y1" t="inlineStr">
        <is>
          <t>Klagomålslänk</t>
        </is>
      </c>
      <c r="Z1" t="inlineStr">
        <is>
          <t>Klagomålsmaillänk</t>
        </is>
      </c>
      <c r="AA1" t="inlineStr">
        <is>
          <t>Tillsynsbegäranslänk</t>
        </is>
      </c>
      <c r="AB1" t="inlineStr">
        <is>
          <t>Tillsynsbegäransmaillänk</t>
        </is>
      </c>
      <c r="AC1" t="inlineStr">
        <is>
          <t>Fågeltillsynsbegäranslänk</t>
        </is>
      </c>
    </row>
    <row r="2" ht="15" customHeight="1">
      <c r="A2" t="inlineStr">
        <is>
          <t>Östra Luspenåivve</t>
        </is>
      </c>
      <c r="B2" t="inlineStr">
        <is>
          <t>avverkningsanmälan</t>
        </is>
      </c>
      <c r="D2" s="1" t="n">
        <v>46218</v>
      </c>
      <c r="E2" s="1" t="n">
        <v>46218</v>
      </c>
      <c r="F2" t="inlineStr">
        <is>
          <t>Norrbottens län</t>
        </is>
      </c>
      <c r="G2" t="inlineStr">
        <is>
          <t>Arvidsjaur</t>
        </is>
      </c>
      <c r="H2" t="inlineStr">
        <is>
          <t>SCA</t>
        </is>
      </c>
      <c r="I2" t="n">
        <v>203.2</v>
      </c>
      <c r="J2" t="n">
        <v>16</v>
      </c>
      <c r="K2" t="n">
        <v>16</v>
      </c>
      <c r="L2" t="n">
        <v>37</v>
      </c>
      <c r="M2" t="n">
        <v>10</v>
      </c>
      <c r="N2" t="n">
        <v>1</v>
      </c>
      <c r="O2" t="n">
        <v>0</v>
      </c>
      <c r="P2" t="n">
        <v>0</v>
      </c>
      <c r="Q2" t="n">
        <v>48</v>
      </c>
      <c r="R2" t="n">
        <v>11</v>
      </c>
      <c r="S2" t="n">
        <v>73</v>
      </c>
      <c r="T2" t="n">
        <v>891</v>
      </c>
      <c r="U2" s="2" t="inlineStr">
        <is>
          <t>Urskogsporing
Blackticka
Doftticka
Fläckporing
Garnlav
Gräddporing
Gränsticka
Knärot
Lateritticka
Smalfotad taggsvamp
Tajgataggsvamp
Barkporlav
Blanksvart spiklav
Blå taggsvamp
Blågrå svartspik
Brunpudrad nållav
Doftskinn
Dropptaggsvamp
Dvärgbägarlav
Gammelgransskål
Grå blåbärsfältmätare
Hornvaxskinn
Knottrig blåslav
Kolflarnlav
Kortskaftad ärgspik
Kådvaxskinn
Lavskrika
Liten svartspik
Luddfingersvamp
Lunglav
Mörk kolflarnlav
Nordtagging
Orange taggsvamp
Rosenticka
Rostania effusa
Skarp dropptaggsvamp
Talltagel
Tallticka
Talltita
Tretåig hackspett
Ullticka
Vaddporing
Vedflamlav
Vedskivlav
Vedtrappmossa
Violmussling
Vitgrynig nållav
Vitplätt
Blodticka
Bårdlav
Jättesvampmal
Källpraktmossa
Luddlav
Norrlandslav
Nästlav
Plattlummer
Skinnlav
Sotlav
Spindelblomster
Stuplav
Trådticka
Vedticka
Vågbandad barkbock
Ögonpyrola
Järpe
Spillkråka
Tjäder
Kungsfågel
Orre
Huggorm
Vanlig groda
Fläcknycklar
Revlummer</t>
        </is>
      </c>
      <c r="V2">
        <f>HYPERLINK("https://klasma.github.io/Logging_FORSKNINGSRESAN_2024/artfynd/Östra Luspenåivve artfynd.xlsx", "Östra Luspenåivve")</f>
        <v/>
      </c>
      <c r="W2">
        <f>HYPERLINK("https://klasma.github.io/Logging_FORSKNINGSRESAN_2024/kartor/Östra Luspenåivve karta.png", "Östra Luspenåivve")</f>
        <v/>
      </c>
      <c r="X2">
        <f>HYPERLINK("https://klasma.github.io/Logging_FORSKNINGSRESAN_2024/knärot/Östra Luspenåivve karta knärot.png", "Östra Luspenåivve")</f>
        <v/>
      </c>
      <c r="Y2">
        <f>HYPERLINK("https://klasma.github.io/Logging_FORSKNINGSRESAN_2024/klagomål/Östra Luspenåivve FSC-klagomål.docx", "Östra Luspenåivve")</f>
        <v/>
      </c>
      <c r="Z2">
        <f>HYPERLINK("https://klasma.github.io/Logging_FORSKNINGSRESAN_2024/klagomålsmail/Östra Luspenåivve FSC-klagomål mail.docx", "Östra Luspenåivve")</f>
        <v/>
      </c>
      <c r="AA2">
        <f>HYPERLINK("https://klasma.github.io/Logging_FORSKNINGSRESAN_2024/tillsyn/Östra Luspenåivve tillsynsbegäran.docx", "Östra Luspenåivve")</f>
        <v/>
      </c>
      <c r="AB2">
        <f>HYPERLINK("https://klasma.github.io/Logging_FORSKNINGSRESAN_2024/tillsynsmail/Östra Luspenåivve tillsynsbegäran mail.docx", "Östra Luspenåivve")</f>
        <v/>
      </c>
      <c r="AC2">
        <f>HYPERLINK("https://klasma.github.io/Logging_FORSKNINGSRESAN_2024/fåglar/Östra Luspenåivve prioriterade fågelarter.docx", "Östra Luspenåivve")</f>
        <v/>
      </c>
    </row>
    <row r="3" ht="15" customHeight="1">
      <c r="A3" t="inlineStr">
        <is>
          <t>Björnideforsen C</t>
        </is>
      </c>
      <c r="B3" t="inlineStr">
        <is>
          <t>avverkningsanmälan</t>
        </is>
      </c>
      <c r="D3" s="1" t="n">
        <v>46218</v>
      </c>
      <c r="E3" s="1" t="n">
        <v>46218</v>
      </c>
      <c r="F3" t="inlineStr">
        <is>
          <t>Norrbottens län</t>
        </is>
      </c>
      <c r="G3" t="inlineStr">
        <is>
          <t>Arvidsjaur</t>
        </is>
      </c>
      <c r="H3" t="inlineStr">
        <is>
          <t>Sveaskog</t>
        </is>
      </c>
      <c r="I3" t="n">
        <v>132</v>
      </c>
      <c r="J3" t="n">
        <v>9</v>
      </c>
      <c r="K3" t="n">
        <v>15</v>
      </c>
      <c r="L3" t="n">
        <v>30</v>
      </c>
      <c r="M3" t="n">
        <v>16</v>
      </c>
      <c r="N3" t="n">
        <v>3</v>
      </c>
      <c r="O3" t="n">
        <v>0</v>
      </c>
      <c r="P3" t="n">
        <v>0</v>
      </c>
      <c r="Q3" t="n">
        <v>49</v>
      </c>
      <c r="R3" t="n">
        <v>19</v>
      </c>
      <c r="S3" t="n">
        <v>65</v>
      </c>
      <c r="T3" t="n">
        <v>436</v>
      </c>
      <c r="U3" s="2" t="inlineStr">
        <is>
          <t>Lusporing
Phellodon resupinatus
Urskogsporing
Borsttagging
Doftticka
Fläckporing
Gräddporing
Gräddticka
Gränsticka
Knärot
Kristallticka
Lateritticka
Laxgröppa
Laxporing
Lecidea subhumida
Norna
Smalfotad taggsvamp
Tallstocksticka
Timmerskapania
Blanksvart spiklav
Blå taggsvamp
Blågrå svartspik
Dropptaggsvamp
Dvärgbägarlav
Hornvaxskinn
Knottrig blåslav
Kolflarnlav
Kortskaftad ärgspik
Lavskrika
Luddfingersvamp
Lunglav
Mörk kolflarnlav
Nordtagging
Orange taggsvamp
Rosenticka
Röd trolldruva
Skrovellav
Svartvit taggsvamp
Talltagel
Tallticka
Talltita
Tretåig hackspett
Vaddporing
Vedflamlav
Vedskivlav
Vedtrappmossa
Violmussling
Vitgrynig nållav
Vitplätt
Blodticka
Bårdlav
Dvärgtufs
Gytterlav
Korallblylav
Luddlav
Norrlandslav
Nästlav
Plattlummer
Skinnlav
Spindelblomster
Stuplav
Svart trolldruva
Vedticka
Ögonpyrola
Spillkråka</t>
        </is>
      </c>
      <c r="V3">
        <f>HYPERLINK("https://klasma.github.io/Logging_FORSKNINGSRESAN_2024/artfynd/Björnideforsen C artfynd.xlsx", "Björnideforsen C")</f>
        <v/>
      </c>
      <c r="W3">
        <f>HYPERLINK("https://klasma.github.io/Logging_FORSKNINGSRESAN_2024/kartor/Björnideforsen C karta.png", "Björnideforsen C")</f>
        <v/>
      </c>
      <c r="X3">
        <f>HYPERLINK("https://klasma.github.io/Logging_FORSKNINGSRESAN_2024/knärot/Björnideforsen C karta knärot.png", "Björnideforsen C")</f>
        <v/>
      </c>
      <c r="Y3">
        <f>HYPERLINK("https://klasma.github.io/Logging_FORSKNINGSRESAN_2024/klagomål/Björnideforsen C FSC-klagomål.docx", "Björnideforsen C")</f>
        <v/>
      </c>
      <c r="Z3">
        <f>HYPERLINK("https://klasma.github.io/Logging_FORSKNINGSRESAN_2024/klagomålsmail/Björnideforsen C FSC-klagomål mail.docx", "Björnideforsen C")</f>
        <v/>
      </c>
      <c r="AA3">
        <f>HYPERLINK("https://klasma.github.io/Logging_FORSKNINGSRESAN_2024/tillsyn/Björnideforsen C tillsynsbegäran.docx", "Björnideforsen C")</f>
        <v/>
      </c>
      <c r="AB3">
        <f>HYPERLINK("https://klasma.github.io/Logging_FORSKNINGSRESAN_2024/tillsynsmail/Björnideforsen C tillsynsbegäran mail.docx", "Björnideforsen C")</f>
        <v/>
      </c>
      <c r="AC3">
        <f>HYPERLINK("https://klasma.github.io/Logging_FORSKNINGSRESAN_2024/fåglar/Björnideforsen C prioriterade fågelarter.docx", "Björnideforsen C")</f>
        <v/>
      </c>
    </row>
    <row r="4" ht="15" customHeight="1">
      <c r="A4" t="inlineStr">
        <is>
          <t>Slaktarberget</t>
        </is>
      </c>
      <c r="B4" t="inlineStr">
        <is>
          <t>avverkningsanmälan</t>
        </is>
      </c>
      <c r="D4" s="1" t="n">
        <v>46218</v>
      </c>
      <c r="E4" s="1" t="n">
        <v>46218</v>
      </c>
      <c r="F4" t="inlineStr">
        <is>
          <t>Norrbottens län</t>
        </is>
      </c>
      <c r="G4" t="inlineStr">
        <is>
          <t>Arvidsjaur</t>
        </is>
      </c>
      <c r="H4" t="inlineStr">
        <is>
          <t>Sveaskog</t>
        </is>
      </c>
      <c r="I4" t="n">
        <v>61.3</v>
      </c>
      <c r="J4" t="n">
        <v>13</v>
      </c>
      <c r="K4" t="n">
        <v>14</v>
      </c>
      <c r="L4" t="n">
        <v>28</v>
      </c>
      <c r="M4" t="n">
        <v>10</v>
      </c>
      <c r="N4" t="n">
        <v>0</v>
      </c>
      <c r="O4" t="n">
        <v>0</v>
      </c>
      <c r="P4" t="n">
        <v>0</v>
      </c>
      <c r="Q4" t="n">
        <v>38</v>
      </c>
      <c r="R4" t="n">
        <v>10</v>
      </c>
      <c r="S4" t="n">
        <v>57</v>
      </c>
      <c r="T4" t="n">
        <v>290</v>
      </c>
      <c r="U4" s="2" t="inlineStr">
        <is>
          <t>Doftticka
Fläckporing
Garnlav
Gräddporing
Gränsticka
Knärot
Lappticka
Lecidea subhumida
Mospindling
Skrovlig taggsvamp
Blanksvart spiklav
Blågrå svartspik
Dropptaggsvamp
Dvärgbägarlav
Gammelgransskål
Grå blåbärsfältmätare
Harticka
Hornvaxskinn
Knottrig blåslav
Kolflarnlav
Kortskaftad ärgspik
Lavskrika
Lunglav
Mörk kolflarnlav
Nordtagging
Rosenticka
Skarp dropptaggsvamp
Skrovellav
Stjärntagging
Talltagel
Talltita
Tretåig hackspett
Ullticka
Vedflamlav
Vedskivlav
Vedtrappmossa
Vitgrynig nållav
Vitplätt
Bronshjon
Bårdlav
Korallrot
Luddlav
Mörk husmossa
Norrlandslav
Nästlav
Plattlummer
Skinnlav
Spindelblomster
Stuplav
Trådticka
Vedticka
Ögonpyrola
Järpe
Spillkråka
Tjäder
Fläcknycklar
Revlummer</t>
        </is>
      </c>
      <c r="V4">
        <f>HYPERLINK("https://klasma.github.io/Logging_FORSKNINGSRESAN_2024/artfynd/Slaktarberget artfynd.xlsx", "Slaktarberget")</f>
        <v/>
      </c>
      <c r="W4">
        <f>HYPERLINK("https://klasma.github.io/Logging_FORSKNINGSRESAN_2024/kartor/Slaktarberget karta.png", "Slaktarberget")</f>
        <v/>
      </c>
      <c r="X4">
        <f>HYPERLINK("https://klasma.github.io/Logging_FORSKNINGSRESAN_2024/knärot/Slaktarberget karta knärot.png", "Slaktarberget")</f>
        <v/>
      </c>
      <c r="Y4">
        <f>HYPERLINK("https://klasma.github.io/Logging_FORSKNINGSRESAN_2024/klagomål/Slaktarberget FSC-klagomål.docx", "Slaktarberget")</f>
        <v/>
      </c>
      <c r="Z4">
        <f>HYPERLINK("https://klasma.github.io/Logging_FORSKNINGSRESAN_2024/klagomålsmail/Slaktarberget FSC-klagomål mail.docx", "Slaktarberget")</f>
        <v/>
      </c>
      <c r="AA4">
        <f>HYPERLINK("https://klasma.github.io/Logging_FORSKNINGSRESAN_2024/tillsyn/Slaktarberget tillsynsbegäran.docx", "Slaktarberget")</f>
        <v/>
      </c>
      <c r="AB4">
        <f>HYPERLINK("https://klasma.github.io/Logging_FORSKNINGSRESAN_2024/tillsynsmail/Slaktarberget tillsynsbegäran mail.docx", "Slaktarberget")</f>
        <v/>
      </c>
      <c r="AC4">
        <f>HYPERLINK("https://klasma.github.io/Logging_FORSKNINGSRESAN_2024/fåglar/Slaktarberget prioriterade fågelarter.docx", "Slaktarberget")</f>
        <v/>
      </c>
    </row>
    <row r="5" ht="15" customHeight="1">
      <c r="A5" t="inlineStr">
        <is>
          <t>Stenberget-Klockartjärnen</t>
        </is>
      </c>
      <c r="B5" t="inlineStr">
        <is>
          <t>avverkningsanmälan</t>
        </is>
      </c>
      <c r="D5" s="1" t="n">
        <v>46218</v>
      </c>
      <c r="E5" s="1" t="n">
        <v>46218</v>
      </c>
      <c r="F5" t="inlineStr">
        <is>
          <t>Norrbottens län</t>
        </is>
      </c>
      <c r="G5" t="inlineStr">
        <is>
          <t>Arvidsjaur</t>
        </is>
      </c>
      <c r="H5" t="inlineStr">
        <is>
          <t>SCA</t>
        </is>
      </c>
      <c r="I5" t="n">
        <v>98.5</v>
      </c>
      <c r="J5" t="n">
        <v>12</v>
      </c>
      <c r="K5" t="n">
        <v>11</v>
      </c>
      <c r="L5" t="n">
        <v>27</v>
      </c>
      <c r="M5" t="n">
        <v>7</v>
      </c>
      <c r="N5" t="n">
        <v>0</v>
      </c>
      <c r="O5" t="n">
        <v>0</v>
      </c>
      <c r="P5" t="n">
        <v>0</v>
      </c>
      <c r="Q5" t="n">
        <v>34</v>
      </c>
      <c r="R5" t="n">
        <v>7</v>
      </c>
      <c r="S5" t="n">
        <v>52</v>
      </c>
      <c r="T5" t="n">
        <v>285</v>
      </c>
      <c r="U5" s="2" t="inlineStr">
        <is>
          <t>Fläckporing
Garnlav
Gräddporing
Gränsticka
Liten sotlav
Narrporing
Tajgaskinn
Blanksvart spiklav
Blågrå svartspik
Dropptaggsvamp
Dvärgbägarlav
Gammelgransskål
Grå blåbärsfältmätare
Knottrig blåslav
Kolflarnlav
Koralltaggsvamp
Kortskaftad ärgspik
Kötticka
Lavskrika
Mörk kolflarnlav
Nordtagging
Rosenticka
Rödbrun blekspik
Talltagel
Talltita
Tretåig hackspett
Ullticka
Vaddporing
Vedflamlav
Vedskivlav
Vedtrappmossa
Violmussling
Vitgrynig nållav
Vitplätt
Björksplintborre
Blodticka
Bronshjon
Bårdlav
Norrlandslav
Nästlav
Plattlummer
Skinnlav
Spindelblomster
Vedticka
Vågbandad barkbock
Järpe
Tjäder
Vanlig groda
Vanlig padda
Fläcknycklar
Lopplummer (aggregat)
Revlummer</t>
        </is>
      </c>
      <c r="V5">
        <f>HYPERLINK("https://klasma.github.io/Logging_FORSKNINGSRESAN_2024/artfynd/Stenberget-Klockartjärnen artfynd.xlsx", "Stenberget-Klockartjärnen")</f>
        <v/>
      </c>
      <c r="W5">
        <f>HYPERLINK("https://klasma.github.io/Logging_FORSKNINGSRESAN_2024/kartor/Stenberget-Klockartjärnen karta.png", "Stenberget-Klockartjärnen")</f>
        <v/>
      </c>
      <c r="Y5">
        <f>HYPERLINK("https://klasma.github.io/Logging_FORSKNINGSRESAN_2024/klagomål/Stenberget-Klockartjärnen FSC-klagomål.docx", "Stenberget-Klockartjärnen")</f>
        <v/>
      </c>
      <c r="Z5">
        <f>HYPERLINK("https://klasma.github.io/Logging_FORSKNINGSRESAN_2024/klagomålsmail/Stenberget-Klockartjärnen FSC-klagomål mail.docx", "Stenberget-Klockartjärnen")</f>
        <v/>
      </c>
      <c r="AA5">
        <f>HYPERLINK("https://klasma.github.io/Logging_FORSKNINGSRESAN_2024/tillsyn/Stenberget-Klockartjärnen tillsynsbegäran.docx", "Stenberget-Klockartjärnen")</f>
        <v/>
      </c>
      <c r="AB5">
        <f>HYPERLINK("https://klasma.github.io/Logging_FORSKNINGSRESAN_2024/tillsynsmail/Stenberget-Klockartjärnen tillsynsbegäran mail.docx", "Stenberget-Klockartjärnen")</f>
        <v/>
      </c>
      <c r="AC5">
        <f>HYPERLINK("https://klasma.github.io/Logging_FORSKNINGSRESAN_2024/fåglar/Stenberget-Klockartjärnen prioriterade fågelarter.docx", "Stenberget-Klockartjärnen")</f>
        <v/>
      </c>
    </row>
    <row r="6" ht="15" customHeight="1">
      <c r="A6" t="inlineStr">
        <is>
          <t>Suddiesjávrrie</t>
        </is>
      </c>
      <c r="B6" t="inlineStr">
        <is>
          <t>avverkningsanmälan</t>
        </is>
      </c>
      <c r="D6" s="1" t="n">
        <v>46218</v>
      </c>
      <c r="E6" s="1" t="n">
        <v>46218</v>
      </c>
      <c r="F6" t="inlineStr">
        <is>
          <t>Norrbottens län</t>
        </is>
      </c>
      <c r="G6" t="inlineStr">
        <is>
          <t>Arvidsjaur</t>
        </is>
      </c>
      <c r="H6" t="inlineStr">
        <is>
          <t>Sveaskog</t>
        </is>
      </c>
      <c r="I6" t="n">
        <v>176.6</v>
      </c>
      <c r="J6" t="n">
        <v>11</v>
      </c>
      <c r="K6" t="n">
        <v>6</v>
      </c>
      <c r="L6" t="n">
        <v>29</v>
      </c>
      <c r="M6" t="n">
        <v>9</v>
      </c>
      <c r="N6" t="n">
        <v>0</v>
      </c>
      <c r="O6" t="n">
        <v>0</v>
      </c>
      <c r="P6" t="n">
        <v>0</v>
      </c>
      <c r="Q6" t="n">
        <v>38</v>
      </c>
      <c r="R6" t="n">
        <v>9</v>
      </c>
      <c r="S6" t="n">
        <v>50</v>
      </c>
      <c r="T6" t="n">
        <v>362</v>
      </c>
      <c r="U6" s="2" t="inlineStr">
        <is>
          <t>Doftticka
Fläckporing
Garnlav
Gräddporing
Mospindling
Skrovlig taggsvamp
Smalfotad taggsvamp
Tajgataggsvamp
Tallgråticka
Blanksvart spiklav
Blå taggsvamp
Blågrå svartspik
Dropptaggsvamp
Dvärgbägarlav
Gammelgransskål
Grå blåbärsfältmätare
Hornvaxskinn
Knottrig blåslav
Kolflarnlav
Kortskaftad ärgspik
Lavskrika
Liten svartspik
Mörk kolflarnlav
Nordtagging
Reliktbock
Rosenticka
Skarp dropptaggsvamp
Svartvit taggsvamp
Talltagel
Talltaggsvamp
Tretåig hackspett
Ullticka
Vaddporing
Vedflamlav
Vedskivlav
Vedtrappmossa
Vitgrynig nållav
Vitplätt
Bronshjon
Norrlandslav
Nästlav
Plattlummer
Spindelblomster
Vedticka
Mattlummer
Spillkråka
Tjäder
Kungsfågel
Lopplummer (aggregat)
Revlummer</t>
        </is>
      </c>
      <c r="V6">
        <f>HYPERLINK("https://klasma.github.io/Logging_FORSKNINGSRESAN_2024/artfynd/Suddiesjávrrie artfynd.xlsx", "Suddiesjávrrie")</f>
        <v/>
      </c>
      <c r="W6">
        <f>HYPERLINK("https://klasma.github.io/Logging_FORSKNINGSRESAN_2024/kartor/Suddiesjávrrie karta.png", "Suddiesjávrrie")</f>
        <v/>
      </c>
      <c r="Y6">
        <f>HYPERLINK("https://klasma.github.io/Logging_FORSKNINGSRESAN_2024/klagomål/Suddiesjávrrie FSC-klagomål.docx", "Suddiesjávrrie")</f>
        <v/>
      </c>
      <c r="Z6">
        <f>HYPERLINK("https://klasma.github.io/Logging_FORSKNINGSRESAN_2024/klagomålsmail/Suddiesjávrrie FSC-klagomål mail.docx", "Suddiesjávrrie")</f>
        <v/>
      </c>
      <c r="AA6">
        <f>HYPERLINK("https://klasma.github.io/Logging_FORSKNINGSRESAN_2024/tillsyn/Suddiesjávrrie tillsynsbegäran.docx", "Suddiesjávrrie")</f>
        <v/>
      </c>
      <c r="AB6">
        <f>HYPERLINK("https://klasma.github.io/Logging_FORSKNINGSRESAN_2024/tillsynsmail/Suddiesjávrrie tillsynsbegäran mail.docx", "Suddiesjávrrie")</f>
        <v/>
      </c>
      <c r="AC6">
        <f>HYPERLINK("https://klasma.github.io/Logging_FORSKNINGSRESAN_2024/fåglar/Suddiesjávrrie prioriterade fågelarter.docx", "Suddiesjávrrie")</f>
        <v/>
      </c>
    </row>
    <row r="7" ht="15" customHeight="1">
      <c r="A7" t="inlineStr">
        <is>
          <t>Suöbdieke NÖ</t>
        </is>
      </c>
      <c r="B7" t="inlineStr">
        <is>
          <t>avverkningsanmälan</t>
        </is>
      </c>
      <c r="D7" s="1" t="n">
        <v>46218</v>
      </c>
      <c r="E7" s="1" t="n">
        <v>46218</v>
      </c>
      <c r="F7" t="inlineStr">
        <is>
          <t>Norrbottens län</t>
        </is>
      </c>
      <c r="G7" t="inlineStr">
        <is>
          <t>Arvidsjaur</t>
        </is>
      </c>
      <c r="H7" t="inlineStr">
        <is>
          <t>Sveaskog</t>
        </is>
      </c>
      <c r="I7" t="n">
        <v>64.7</v>
      </c>
      <c r="J7" t="n">
        <v>7</v>
      </c>
      <c r="K7" t="n">
        <v>2</v>
      </c>
      <c r="L7" t="n">
        <v>23</v>
      </c>
      <c r="M7" t="n">
        <v>11</v>
      </c>
      <c r="N7" t="n">
        <v>1</v>
      </c>
      <c r="O7" t="n">
        <v>0</v>
      </c>
      <c r="P7" t="n">
        <v>0</v>
      </c>
      <c r="Q7" t="n">
        <v>35</v>
      </c>
      <c r="R7" t="n">
        <v>12</v>
      </c>
      <c r="S7" t="n">
        <v>39</v>
      </c>
      <c r="T7" t="n">
        <v>333</v>
      </c>
      <c r="U7" s="2" t="inlineStr">
        <is>
          <t>Phellodon resupinatus
Fläckporing
Goliatmusseron
Gräddporing
Jättemusseron
Lateritticka
Skrovlig taggsvamp
Smalfotad taggsvamp
Spadskinn
Tajgataggsvamp
Tallgråticka
Tornseglare
Blanksvart spiklav
Blå taggsvamp
Blågrå svartspik
Dropptaggsvamp
Dvärgbägarlav
Knottrig blåslav
Kolflarnlav
Lavskrika
Mörk kolflarnlav
Nordtagging
Orange taggsvamp
Phellodon aquiloniniger
Skarp dropptaggsvamp
Svartvit taggsvamp
Tallriska
Talltaggsvamp
Talltita
Tretåig hackspett
Ullticka
Vaxspindling
Vedflamlav
Vedskivlav
Vitplätt
Plattlummer
Vedticka
Spillkråka
Tjäder</t>
        </is>
      </c>
      <c r="V7">
        <f>HYPERLINK("https://klasma.github.io/Logging_FORSKNINGSRESAN_2024/artfynd/Suöbdieke NÖ artfynd.xlsx", "Suöbdieke NÖ")</f>
        <v/>
      </c>
      <c r="W7">
        <f>HYPERLINK("https://klasma.github.io/Logging_FORSKNINGSRESAN_2024/kartor/Suöbdieke NÖ karta.png", "Suöbdieke NÖ")</f>
        <v/>
      </c>
      <c r="Y7">
        <f>HYPERLINK("https://klasma.github.io/Logging_FORSKNINGSRESAN_2024/klagomål/Suöbdieke NÖ FSC-klagomål.docx", "Suöbdieke NÖ")</f>
        <v/>
      </c>
      <c r="Z7">
        <f>HYPERLINK("https://klasma.github.io/Logging_FORSKNINGSRESAN_2024/klagomålsmail/Suöbdieke NÖ FSC-klagomål mail.docx", "Suöbdieke NÖ")</f>
        <v/>
      </c>
      <c r="AA7">
        <f>HYPERLINK("https://klasma.github.io/Logging_FORSKNINGSRESAN_2024/tillsyn/Suöbdieke NÖ tillsynsbegäran.docx", "Suöbdieke NÖ")</f>
        <v/>
      </c>
      <c r="AB7">
        <f>HYPERLINK("https://klasma.github.io/Logging_FORSKNINGSRESAN_2024/tillsynsmail/Suöbdieke NÖ tillsynsbegäran mail.docx", "Suöbdieke NÖ")</f>
        <v/>
      </c>
      <c r="AC7">
        <f>HYPERLINK("https://klasma.github.io/Logging_FORSKNINGSRESAN_2024/fåglar/Suöbdieke NÖ prioriterade fågelarter.docx", "Suöbdieke NÖ")</f>
        <v/>
      </c>
    </row>
    <row r="8" ht="15" customHeight="1">
      <c r="A8" t="inlineStr">
        <is>
          <t>Björnideforsen B</t>
        </is>
      </c>
      <c r="B8" t="inlineStr">
        <is>
          <t>avverkningsanmälan</t>
        </is>
      </c>
      <c r="D8" s="1" t="n">
        <v>46218</v>
      </c>
      <c r="E8" s="1" t="n">
        <v>46218</v>
      </c>
      <c r="F8" t="inlineStr">
        <is>
          <t>Norrbottens län</t>
        </is>
      </c>
      <c r="G8" t="inlineStr">
        <is>
          <t>Arvidsjaur</t>
        </is>
      </c>
      <c r="H8" t="inlineStr">
        <is>
          <t>Sveaskog</t>
        </is>
      </c>
      <c r="I8" t="n">
        <v>56.7</v>
      </c>
      <c r="J8" t="n">
        <v>6</v>
      </c>
      <c r="K8" t="n">
        <v>11</v>
      </c>
      <c r="L8" t="n">
        <v>21</v>
      </c>
      <c r="M8" t="n">
        <v>4</v>
      </c>
      <c r="N8" t="n">
        <v>0</v>
      </c>
      <c r="O8" t="n">
        <v>0</v>
      </c>
      <c r="P8" t="n">
        <v>0</v>
      </c>
      <c r="Q8" t="n">
        <v>25</v>
      </c>
      <c r="R8" t="n">
        <v>4</v>
      </c>
      <c r="S8" t="n">
        <v>37</v>
      </c>
      <c r="T8" t="n">
        <v>148</v>
      </c>
      <c r="U8" s="2" t="inlineStr">
        <is>
          <t>Doftticka
Fläckporing
Garnlav
Gräddporing
Blanksvart spiklav
Blå taggsvamp
Blågrå svartspik
Dropptaggsvamp
Dvärgbägarlav
Gammelgransskål
Grå blåbärsfältmätare
Knottrig blåslav
Kolflarnlav
Ladlav
Mörk kolflarnlav
Nordtagging
Rostania effusa
Skrovellav
Talltagel
Tretåig hackspett
Vedflamlav
Vedskivlav
Vedtrappmossa
Violmussling
Vitgrynig nållav
Bronshjon
Bårdlav
Gullgröppa
Korallrot
Luddlav
Plattlummer
Skinnlav
Spindelblomster
Stuplav
Vedticka
Vågbandad barkbock
Tofsmes</t>
        </is>
      </c>
      <c r="V8">
        <f>HYPERLINK("https://klasma.github.io/Logging_FORSKNINGSRESAN_2024/artfynd/Björnideforsen B artfynd.xlsx", "Björnideforsen B")</f>
        <v/>
      </c>
      <c r="W8">
        <f>HYPERLINK("https://klasma.github.io/Logging_FORSKNINGSRESAN_2024/kartor/Björnideforsen B karta.png", "Björnideforsen B")</f>
        <v/>
      </c>
      <c r="Y8">
        <f>HYPERLINK("https://klasma.github.io/Logging_FORSKNINGSRESAN_2024/klagomål/Björnideforsen B FSC-klagomål.docx", "Björnideforsen B")</f>
        <v/>
      </c>
      <c r="Z8">
        <f>HYPERLINK("https://klasma.github.io/Logging_FORSKNINGSRESAN_2024/klagomålsmail/Björnideforsen B FSC-klagomål mail.docx", "Björnideforsen B")</f>
        <v/>
      </c>
      <c r="AA8">
        <f>HYPERLINK("https://klasma.github.io/Logging_FORSKNINGSRESAN_2024/tillsyn/Björnideforsen B tillsynsbegäran.docx", "Björnideforsen B")</f>
        <v/>
      </c>
      <c r="AB8">
        <f>HYPERLINK("https://klasma.github.io/Logging_FORSKNINGSRESAN_2024/tillsynsmail/Björnideforsen B tillsynsbegäran mail.docx", "Björnideforsen B")</f>
        <v/>
      </c>
      <c r="AC8">
        <f>HYPERLINK("https://klasma.github.io/Logging_FORSKNINGSRESAN_2024/fåglar/Björnideforsen B prioriterade fågelarter.docx", "Björnideforsen B")</f>
        <v/>
      </c>
    </row>
    <row r="9" ht="15" customHeight="1">
      <c r="A9" t="inlineStr">
        <is>
          <t>Avvanm 36411</t>
        </is>
      </c>
      <c r="B9" t="inlineStr">
        <is>
          <t>avverkningsanmälan</t>
        </is>
      </c>
      <c r="D9" s="1" t="n">
        <v>46218</v>
      </c>
      <c r="E9" s="1" t="n">
        <v>46218</v>
      </c>
      <c r="F9" t="inlineStr">
        <is>
          <t>Norrbottens län</t>
        </is>
      </c>
      <c r="G9" t="inlineStr">
        <is>
          <t>Arvidsjaur</t>
        </is>
      </c>
      <c r="H9" t="inlineStr">
        <is>
          <t>Sveaskog</t>
        </is>
      </c>
      <c r="I9" t="n">
        <v>11.4</v>
      </c>
      <c r="J9" t="n">
        <v>6</v>
      </c>
      <c r="K9" t="n">
        <v>4</v>
      </c>
      <c r="L9" t="n">
        <v>21</v>
      </c>
      <c r="M9" t="n">
        <v>7</v>
      </c>
      <c r="N9" t="n">
        <v>0</v>
      </c>
      <c r="O9" t="n">
        <v>0</v>
      </c>
      <c r="P9" t="n">
        <v>0</v>
      </c>
      <c r="Q9" t="n">
        <v>28</v>
      </c>
      <c r="R9" t="n">
        <v>7</v>
      </c>
      <c r="S9" t="n">
        <v>35</v>
      </c>
      <c r="T9" t="n">
        <v>229</v>
      </c>
      <c r="U9" s="2" t="inlineStr">
        <is>
          <t>Fläckporing
Gräddporing
Jättemusseron
Lecidea subhumida
Smalfotad taggsvamp
Tornseglare
Ulltickeporing
Blanksvart spiklav
Blå taggsvamp
Blågrå svartspik
Dropptaggsvamp
Dvärgbägarlav
Knottrig blåslav
Kolflarnlav
Kortskaftad ärgspik
Nordtagging
Svartvit taggsvamp
Talltagel
Talltaggsvamp
Tallticka
Tretåig hackspett
Ullticka
Vaddporing
Vedflamlav
Vedskivlav
Violmussling
Vitgrynig nållav
Vitplätt
Gullgröppa
Nästlav
Plattlummer
Vedticka
Spillkråka
Tjäder
Vanlig groda</t>
        </is>
      </c>
      <c r="V9">
        <f>HYPERLINK("https://klasma.github.io/Logging_FORSKNINGSRESAN_2024/artfynd/Avvanm 36411 artfynd.xlsx", "Avvanm 36411")</f>
        <v/>
      </c>
      <c r="W9">
        <f>HYPERLINK("https://klasma.github.io/Logging_FORSKNINGSRESAN_2024/kartor/Avvanm 36411 karta.png", "Avvanm 36411")</f>
        <v/>
      </c>
      <c r="Y9">
        <f>HYPERLINK("https://klasma.github.io/Logging_FORSKNINGSRESAN_2024/klagomål/Avvanm 36411 FSC-klagomål.docx", "Avvanm 36411")</f>
        <v/>
      </c>
      <c r="Z9">
        <f>HYPERLINK("https://klasma.github.io/Logging_FORSKNINGSRESAN_2024/klagomålsmail/Avvanm 36411 FSC-klagomål mail.docx", "Avvanm 36411")</f>
        <v/>
      </c>
      <c r="AA9">
        <f>HYPERLINK("https://klasma.github.io/Logging_FORSKNINGSRESAN_2024/tillsyn/Avvanm 36411 tillsynsbegäran.docx", "Avvanm 36411")</f>
        <v/>
      </c>
      <c r="AB9">
        <f>HYPERLINK("https://klasma.github.io/Logging_FORSKNINGSRESAN_2024/tillsynsmail/Avvanm 36411 tillsynsbegäran mail.docx", "Avvanm 36411")</f>
        <v/>
      </c>
      <c r="AC9">
        <f>HYPERLINK("https://klasma.github.io/Logging_FORSKNINGSRESAN_2024/fåglar/Avvanm 36411 prioriterade fågelarter.docx", "Avvanm 36411")</f>
        <v/>
      </c>
    </row>
    <row r="10" ht="15" customHeight="1">
      <c r="A10" t="inlineStr">
        <is>
          <t>Björnideforsen A</t>
        </is>
      </c>
      <c r="B10" t="inlineStr">
        <is>
          <t>avverkningsanmälan</t>
        </is>
      </c>
      <c r="D10" s="1" t="n">
        <v>46218</v>
      </c>
      <c r="E10" s="1" t="n">
        <v>46218</v>
      </c>
      <c r="F10" t="inlineStr">
        <is>
          <t>Norrbottens län</t>
        </is>
      </c>
      <c r="G10" t="inlineStr">
        <is>
          <t>Arvidsjaur</t>
        </is>
      </c>
      <c r="H10" t="inlineStr">
        <is>
          <t>Sveaskog</t>
        </is>
      </c>
      <c r="I10" t="n">
        <v>56.9</v>
      </c>
      <c r="J10" t="n">
        <v>4</v>
      </c>
      <c r="K10" t="n">
        <v>9</v>
      </c>
      <c r="L10" t="n">
        <v>19</v>
      </c>
      <c r="M10" t="n">
        <v>4</v>
      </c>
      <c r="N10" t="n">
        <v>0</v>
      </c>
      <c r="O10" t="n">
        <v>0</v>
      </c>
      <c r="P10" t="n">
        <v>0</v>
      </c>
      <c r="Q10" t="n">
        <v>23</v>
      </c>
      <c r="R10" t="n">
        <v>4</v>
      </c>
      <c r="S10" t="n">
        <v>32</v>
      </c>
      <c r="T10" t="n">
        <v>136</v>
      </c>
      <c r="U10" s="2" t="inlineStr">
        <is>
          <t>Fläckporing
Gräddporing
Lecidea subhumida
Smalfotad taggsvamp
Blanksvart spiklav
Blå taggsvamp
Blågrå svartspik
Dropptaggsvamp
Dvärgbägarlav
Knottrig blåslav
Kolflarnlav
Liten svartspik
Mörk kolflarnlav
Orange taggsvamp
Skarp dropptaggsvamp
Svartvit taggsvamp
Talltagel
Talltaggsvamp
Tallticka
Tretåig hackspett
Vedflamlav
Vedskivlav
Vitgrynig nållav
Bårdlav
Gullgröppa
Korallrot
Källmossa
Plattlummer
Spindelblomster
Trådfräken
Vedticka
Ögonpyrola</t>
        </is>
      </c>
      <c r="V10">
        <f>HYPERLINK("https://klasma.github.io/Logging_FORSKNINGSRESAN_2024/artfynd/Björnideforsen A artfynd.xlsx", "Björnideforsen A")</f>
        <v/>
      </c>
      <c r="W10">
        <f>HYPERLINK("https://klasma.github.io/Logging_FORSKNINGSRESAN_2024/kartor/Björnideforsen A karta.png", "Björnideforsen A")</f>
        <v/>
      </c>
      <c r="Y10">
        <f>HYPERLINK("https://klasma.github.io/Logging_FORSKNINGSRESAN_2024/klagomål/Björnideforsen A FSC-klagomål.docx", "Björnideforsen A")</f>
        <v/>
      </c>
      <c r="Z10">
        <f>HYPERLINK("https://klasma.github.io/Logging_FORSKNINGSRESAN_2024/klagomålsmail/Björnideforsen A FSC-klagomål mail.docx", "Björnideforsen A")</f>
        <v/>
      </c>
      <c r="AA10">
        <f>HYPERLINK("https://klasma.github.io/Logging_FORSKNINGSRESAN_2024/tillsyn/Björnideforsen A tillsynsbegäran.docx", "Björnideforsen A")</f>
        <v/>
      </c>
      <c r="AB10">
        <f>HYPERLINK("https://klasma.github.io/Logging_FORSKNINGSRESAN_2024/tillsynsmail/Björnideforsen A tillsynsbegäran mail.docx", "Björnideforsen A")</f>
        <v/>
      </c>
      <c r="AC10">
        <f>HYPERLINK("https://klasma.github.io/Logging_FORSKNINGSRESAN_2024/fåglar/Björnideforsen A prioriterade fågelarter.docx", "Björnideforsen A")</f>
        <v/>
      </c>
    </row>
    <row r="11" ht="15" customHeight="1">
      <c r="A11" t="inlineStr">
        <is>
          <t>Njuorokvárátj</t>
        </is>
      </c>
      <c r="B11" t="inlineStr">
        <is>
          <t>avverkningsanmälan</t>
        </is>
      </c>
      <c r="D11" s="1" t="n">
        <v>46218</v>
      </c>
      <c r="E11" s="1" t="n">
        <v>46218</v>
      </c>
      <c r="F11" t="inlineStr">
        <is>
          <t>Norrbottens län</t>
        </is>
      </c>
      <c r="G11" t="inlineStr">
        <is>
          <t>Arvidsjaur</t>
        </is>
      </c>
      <c r="H11" t="inlineStr">
        <is>
          <t>Sveaskog</t>
        </is>
      </c>
      <c r="I11" t="n">
        <v>57.8</v>
      </c>
      <c r="J11" t="n">
        <v>7</v>
      </c>
      <c r="K11" t="n">
        <v>3</v>
      </c>
      <c r="L11" t="n">
        <v>20</v>
      </c>
      <c r="M11" t="n">
        <v>7</v>
      </c>
      <c r="N11" t="n">
        <v>0</v>
      </c>
      <c r="O11" t="n">
        <v>0</v>
      </c>
      <c r="P11" t="n">
        <v>0</v>
      </c>
      <c r="Q11" t="n">
        <v>27</v>
      </c>
      <c r="R11" t="n">
        <v>7</v>
      </c>
      <c r="S11" t="n">
        <v>32</v>
      </c>
      <c r="T11" t="n">
        <v>281</v>
      </c>
      <c r="U11" s="2" t="inlineStr">
        <is>
          <t>Fläckporing
Gräddporing
Gränsticka
Skrovlig taggsvamp
Smalfotad taggsvamp
Tallstocksticka
Tornseglare
Blanksvart spiklav
Blå taggsvamp
Blågrå svartspik
Dropptaggsvamp
Dvärgbägarlav
Hornvaxskinn
Kolflarnlav
Kortskaftad ärgspik
Lavskrika
Mörk kolflarnlav
Nordtagging
Skarp dropptaggsvamp
Talltaggsvamp
Talltita
Tretåig hackspett
Vaddporing
Vedflamlav
Vedskivlav
Vedtrappmossa
Vitplätt
Gullgröppa
Plattlummer
Vedticka
Järpe
Spillkråka</t>
        </is>
      </c>
      <c r="V11">
        <f>HYPERLINK("https://klasma.github.io/Logging_FORSKNINGSRESAN_2024/artfynd/Njuorokvárátj artfynd.xlsx", "Njuorokvárátj")</f>
        <v/>
      </c>
      <c r="W11">
        <f>HYPERLINK("https://klasma.github.io/Logging_FORSKNINGSRESAN_2024/kartor/Njuorokvárátj karta.png", "Njuorokvárátj")</f>
        <v/>
      </c>
      <c r="Y11">
        <f>HYPERLINK("https://klasma.github.io/Logging_FORSKNINGSRESAN_2024/klagomål/Njuorokvárátj FSC-klagomål.docx", "Njuorokvárátj")</f>
        <v/>
      </c>
      <c r="Z11">
        <f>HYPERLINK("https://klasma.github.io/Logging_FORSKNINGSRESAN_2024/klagomålsmail/Njuorokvárátj FSC-klagomål mail.docx", "Njuorokvárátj")</f>
        <v/>
      </c>
      <c r="AA11">
        <f>HYPERLINK("https://klasma.github.io/Logging_FORSKNINGSRESAN_2024/tillsyn/Njuorokvárátj tillsynsbegäran.docx", "Njuorokvárátj")</f>
        <v/>
      </c>
      <c r="AB11">
        <f>HYPERLINK("https://klasma.github.io/Logging_FORSKNINGSRESAN_2024/tillsynsmail/Njuorokvárátj tillsynsbegäran mail.docx", "Njuorokvárátj")</f>
        <v/>
      </c>
      <c r="AC11">
        <f>HYPERLINK("https://klasma.github.io/Logging_FORSKNINGSRESAN_2024/fåglar/Njuorokvárátj prioriterade fågelarter.docx", "Njuorokvárátj")</f>
        <v/>
      </c>
    </row>
    <row r="12" ht="15" customHeight="1">
      <c r="A12" t="inlineStr">
        <is>
          <t>Gåbddieluoktta</t>
        </is>
      </c>
      <c r="B12" t="inlineStr">
        <is>
          <t>avverkningsanmälan</t>
        </is>
      </c>
      <c r="D12" s="1" t="n">
        <v>46218</v>
      </c>
      <c r="E12" s="1" t="n">
        <v>46218</v>
      </c>
      <c r="F12" t="inlineStr">
        <is>
          <t>Norrbottens län</t>
        </is>
      </c>
      <c r="G12" t="inlineStr">
        <is>
          <t>Arvidsjaur</t>
        </is>
      </c>
      <c r="H12" t="inlineStr">
        <is>
          <t>Sveaskog</t>
        </is>
      </c>
      <c r="I12" t="n">
        <v>50.2</v>
      </c>
      <c r="J12" t="n">
        <v>7</v>
      </c>
      <c r="K12" t="n">
        <v>5</v>
      </c>
      <c r="L12" t="n">
        <v>18</v>
      </c>
      <c r="M12" t="n">
        <v>4</v>
      </c>
      <c r="N12" t="n">
        <v>1</v>
      </c>
      <c r="O12" t="n">
        <v>0</v>
      </c>
      <c r="P12" t="n">
        <v>0</v>
      </c>
      <c r="Q12" t="n">
        <v>23</v>
      </c>
      <c r="R12" t="n">
        <v>5</v>
      </c>
      <c r="S12" t="n">
        <v>30</v>
      </c>
      <c r="T12" t="n">
        <v>138</v>
      </c>
      <c r="U12" s="2" t="inlineStr">
        <is>
          <t>Urskogsporing
Fläckporing
Gräddporing
Gränsticka
Smalfotad taggsvamp
Blanksvart spiklav
Blågrå svartspik
Dofttaggsvamp
Dropptaggsvamp
Dvärgbägarlav
Knottrig blåslav
Kolflarnlav
Lavskrika
Mörk kolflarnlav
Nordtagging
Skarp dropptaggsvamp
Talltagel
Talltita
Tretåig hackspett
Vedflamlav
Vedskivlav
Vitplätt
Älg
Gullgröppa
Luddlav
Plattlummer
Spindelblomster
Vedticka
Spillkråka
Tjäder</t>
        </is>
      </c>
      <c r="V12">
        <f>HYPERLINK("https://klasma.github.io/Logging_FORSKNINGSRESAN_2024/artfynd/Gåbddieluoktta artfynd.xlsx", "Gåbddieluoktta")</f>
        <v/>
      </c>
      <c r="W12">
        <f>HYPERLINK("https://klasma.github.io/Logging_FORSKNINGSRESAN_2024/kartor/Gåbddieluoktta karta.png", "Gåbddieluoktta")</f>
        <v/>
      </c>
      <c r="Y12">
        <f>HYPERLINK("https://klasma.github.io/Logging_FORSKNINGSRESAN_2024/klagomål/Gåbddieluoktta FSC-klagomål.docx", "Gåbddieluoktta")</f>
        <v/>
      </c>
      <c r="Z12">
        <f>HYPERLINK("https://klasma.github.io/Logging_FORSKNINGSRESAN_2024/klagomålsmail/Gåbddieluoktta FSC-klagomål mail.docx", "Gåbddieluoktta")</f>
        <v/>
      </c>
      <c r="AA12">
        <f>HYPERLINK("https://klasma.github.io/Logging_FORSKNINGSRESAN_2024/tillsyn/Gåbddieluoktta tillsynsbegäran.docx", "Gåbddieluoktta")</f>
        <v/>
      </c>
      <c r="AB12">
        <f>HYPERLINK("https://klasma.github.io/Logging_FORSKNINGSRESAN_2024/tillsynsmail/Gåbddieluoktta tillsynsbegäran mail.docx", "Gåbddieluoktta")</f>
        <v/>
      </c>
      <c r="AC12">
        <f>HYPERLINK("https://klasma.github.io/Logging_FORSKNINGSRESAN_2024/fåglar/Gåbddieluoktta prioriterade fågelarter.docx", "Gåbddieluoktta")</f>
        <v/>
      </c>
    </row>
    <row r="13">
      <c r="A13" t="inlineStr">
        <is>
          <t>Láttakjávrátje</t>
        </is>
      </c>
      <c r="B13" t="inlineStr">
        <is>
          <t>avverkningsanmälan</t>
        </is>
      </c>
      <c r="D13" s="1" t="n">
        <v>46218</v>
      </c>
      <c r="E13" s="1" t="n">
        <v>46218</v>
      </c>
      <c r="F13" t="inlineStr">
        <is>
          <t>Norrbottens län</t>
        </is>
      </c>
      <c r="G13" t="inlineStr">
        <is>
          <t>Arvidsjaur</t>
        </is>
      </c>
      <c r="H13" t="inlineStr">
        <is>
          <t>Sveaskog</t>
        </is>
      </c>
      <c r="I13" t="n">
        <v>70.8</v>
      </c>
      <c r="J13" t="n">
        <v>3</v>
      </c>
      <c r="K13" t="n">
        <v>1</v>
      </c>
      <c r="L13" t="n">
        <v>20</v>
      </c>
      <c r="M13" t="n">
        <v>5</v>
      </c>
      <c r="N13" t="n">
        <v>0</v>
      </c>
      <c r="O13" t="n">
        <v>0</v>
      </c>
      <c r="P13" t="n">
        <v>0</v>
      </c>
      <c r="Q13" t="n">
        <v>25</v>
      </c>
      <c r="R13" t="n">
        <v>5</v>
      </c>
      <c r="S13" t="n">
        <v>27</v>
      </c>
      <c r="T13" t="n">
        <v>254</v>
      </c>
      <c r="U13" s="2" t="inlineStr">
        <is>
          <t>Fläckporing
Gräddporing
Lecidea subhumida
Smalfotad taggsvamp
Spadskinn
Blanksvart spiklav
Blå taggsvamp
Blågrå svartspik
Dropptaggsvamp
Dvärgbägarlav
Kolflarnlav
Kortskaftad ärgspik
Lavskrika
Mjölsvärting
Nordlig nållav
Nordtagging
Orange taggsvamp
Skarp dropptaggsvamp
Tallriska
Talltagel
Talltaggsvamp
Talltita
Vedflamlav
Vedskivlav
Vitplätt
Vedticka
Spillkråka</t>
        </is>
      </c>
      <c r="V13">
        <f>HYPERLINK("https://klasma.github.io/Logging_FORSKNINGSRESAN_2024/artfynd/Láttakjávrátje artfynd.xlsx", "Láttakjávrátje")</f>
        <v/>
      </c>
      <c r="W13">
        <f>HYPERLINK("https://klasma.github.io/Logging_FORSKNINGSRESAN_2024/kartor/Láttakjávrátje karta.png", "Láttakjávrátje")</f>
        <v/>
      </c>
      <c r="Y13">
        <f>HYPERLINK("https://klasma.github.io/Logging_FORSKNINGSRESAN_2024/klagomål/Láttakjávrátje FSC-klagomål.docx", "Láttakjávrátje")</f>
        <v/>
      </c>
      <c r="Z13">
        <f>HYPERLINK("https://klasma.github.io/Logging_FORSKNINGSRESAN_2024/klagomålsmail/Láttakjávrátje FSC-klagomål mail.docx", "Láttakjávrátje")</f>
        <v/>
      </c>
      <c r="AA13">
        <f>HYPERLINK("https://klasma.github.io/Logging_FORSKNINGSRESAN_2024/tillsyn/Láttakjávrátje tillsynsbegäran.docx", "Láttakjávrátje")</f>
        <v/>
      </c>
      <c r="AB13">
        <f>HYPERLINK("https://klasma.github.io/Logging_FORSKNINGSRESAN_2024/tillsynsmail/Láttakjávrátje tillsynsbegäran mail.docx", "Láttakjávrátje")</f>
        <v/>
      </c>
      <c r="AC13">
        <f>HYPERLINK("https://klasma.github.io/Logging_FORSKNINGSRESAN_2024/fåglar/Láttakjávrátje prioriterade fågelarter.docx", "Láttakjávrátje")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2026-07-15T21:21:54Z</dcterms:created>
  <dcterms:modified xmlns:dcterms="http://purl.org/dc/terms/" xmlns:xsi="http://www.w3.org/2001/XMLSchema-instance" xsi:type="dcterms:W3CDTF">2026-07-15T21:21:54Z</dcterms:modified>
</cp:coreProperties>
</file>
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O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Kommentar</t>
        </is>
      </c>
      <c r="AF1" t="inlineStr">
        <is>
          <t>Markägare</t>
        </is>
      </c>
      <c r="AG1" t="inlineStr">
        <is>
          <t>Status</t>
        </is>
      </c>
      <c r="AH1" t="inlineStr">
        <is>
          <t>Prio</t>
        </is>
      </c>
      <c r="AI1" t="inlineStr">
        <is>
          <t>Naturtyp_</t>
        </is>
      </c>
      <c r="AJ1" t="inlineStr">
        <is>
          <t>Intresse</t>
        </is>
      </c>
      <c r="AK1" t="inlineStr">
        <is>
          <t>TTH</t>
        </is>
      </c>
      <c r="AL1" t="inlineStr">
        <is>
          <t>Avsatt omr</t>
        </is>
      </c>
      <c r="AM1" t="inlineStr">
        <is>
          <t>LST_bevak</t>
        </is>
      </c>
      <c r="AN1" t="inlineStr">
        <is>
          <t>NV/Klass</t>
        </is>
      </c>
      <c r="AO1" t="inlineStr">
        <is>
          <t>Avvanm_</t>
        </is>
      </c>
    </row>
    <row r="2" ht="15" customHeight="1">
      <c r="A2" t="inlineStr">
        <is>
          <t>Östra Luspenåivve</t>
        </is>
      </c>
      <c r="B2" t="inlineStr">
        <is>
          <t>avverkningsanmälan</t>
        </is>
      </c>
      <c r="D2" s="1" t="n">
        <v>46222</v>
      </c>
      <c r="E2" s="1" t="n">
        <v>46222</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HYPERLINK("https://klasma.github.io/Logging_FORSKNINGSRESAN_2024/kartor_geotiff/Östra Luspenåivve georefererad karta.tif", "Östra Luspenåivve")</f>
        <v/>
      </c>
      <c r="Y2">
        <f>HYPERLINK("https://klasma.github.io/Logging_FORSKNINGSRESAN_2024/knärot/Östra Luspenåivve karta knärot.png", "Östra Luspenåivve")</f>
        <v/>
      </c>
      <c r="Z2">
        <f>HYPERLINK("https://klasma.github.io/Logging_FORSKNINGSRESAN_2024/klagomål/Östra Luspenåivve FSC-klagomål.docx", "Östra Luspenåivve")</f>
        <v/>
      </c>
      <c r="AA2">
        <f>HYPERLINK("https://klasma.github.io/Logging_FORSKNINGSRESAN_2024/klagomålsmail/Östra Luspenåivve FSC-klagomål mail.docx", "Östra Luspenåivve")</f>
        <v/>
      </c>
      <c r="AB2">
        <f>HYPERLINK("https://klasma.github.io/Logging_FORSKNINGSRESAN_2024/tillsyn/Östra Luspenåivve tillsynsbegäran.docx", "Östra Luspenåivve")</f>
        <v/>
      </c>
      <c r="AC2">
        <f>HYPERLINK("https://klasma.github.io/Logging_FORSKNINGSRESAN_2024/tillsynsmail/Östra Luspenåivve tillsynsbegäran mail.docx", "Östra Luspenåivve")</f>
        <v/>
      </c>
      <c r="AD2">
        <f>HYPERLINK("https://klasma.github.io/Logging_FORSKNINGSRESAN_2024/fåglar/Östra Luspenåivve prioriterade fågelarter.docx", "Östra Luspenåivve")</f>
        <v/>
      </c>
      <c r="AE2" t="n">
        <v/>
      </c>
      <c r="AF2" t="inlineStr">
        <is>
          <t>SCA + Sveaskog</t>
        </is>
      </c>
      <c r="AG2" t="inlineStr">
        <is>
          <t>Inventerad av SNF 2023</t>
        </is>
      </c>
      <c r="AH2" t="inlineStr">
        <is>
          <t>1-2</t>
        </is>
      </c>
      <c r="AI2" t="n">
        <v/>
      </c>
      <c r="AJ2" t="inlineStr">
        <is>
          <t>högintressant</t>
        </is>
      </c>
      <c r="AL2" t="n">
        <v/>
      </c>
      <c r="AM2" t="n">
        <v/>
      </c>
      <c r="AN2" t="n">
        <v/>
      </c>
      <c r="AO2" t="n">
        <v/>
      </c>
    </row>
    <row r="3" ht="15" customHeight="1">
      <c r="A3" t="inlineStr">
        <is>
          <t>Björnideforsen C</t>
        </is>
      </c>
      <c r="B3" t="inlineStr">
        <is>
          <t>avverkningsanmälan</t>
        </is>
      </c>
      <c r="D3" s="1" t="n">
        <v>46222</v>
      </c>
      <c r="E3" s="1" t="n">
        <v>46222</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HYPERLINK("https://klasma.github.io/Logging_FORSKNINGSRESAN_2024/kartor_geotiff/Björnideforsen C georefererad karta.tif", "Björnideforsen C")</f>
        <v/>
      </c>
      <c r="Y3">
        <f>HYPERLINK("https://klasma.github.io/Logging_FORSKNINGSRESAN_2024/knärot/Björnideforsen C karta knärot.png", "Björnideforsen C")</f>
        <v/>
      </c>
      <c r="Z3">
        <f>HYPERLINK("https://klasma.github.io/Logging_FORSKNINGSRESAN_2024/klagomål/Björnideforsen C FSC-klagomål.docx", "Björnideforsen C")</f>
        <v/>
      </c>
      <c r="AA3">
        <f>HYPERLINK("https://klasma.github.io/Logging_FORSKNINGSRESAN_2024/klagomålsmail/Björnideforsen C FSC-klagomål mail.docx", "Björnideforsen C")</f>
        <v/>
      </c>
      <c r="AB3">
        <f>HYPERLINK("https://klasma.github.io/Logging_FORSKNINGSRESAN_2024/tillsyn/Björnideforsen C tillsynsbegäran.docx", "Björnideforsen C")</f>
        <v/>
      </c>
      <c r="AC3">
        <f>HYPERLINK("https://klasma.github.io/Logging_FORSKNINGSRESAN_2024/tillsynsmail/Björnideforsen C tillsynsbegäran mail.docx", "Björnideforsen C")</f>
        <v/>
      </c>
      <c r="AD3">
        <f>HYPERLINK("https://klasma.github.io/Logging_FORSKNINGSRESAN_2024/fåglar/Björnideforsen C prioriterade fågelarter.docx", "Björnideforsen C")</f>
        <v/>
      </c>
      <c r="AE3" t="n">
        <v/>
      </c>
      <c r="AF3" t="inlineStr">
        <is>
          <t>Sveaskog</t>
        </is>
      </c>
      <c r="AG3" t="n">
        <v/>
      </c>
      <c r="AH3" t="inlineStr">
        <is>
          <t>1-2</t>
        </is>
      </c>
      <c r="AI3" t="inlineStr">
        <is>
          <t>Äldre skog i ekopark PG/PF/NS.</t>
        </is>
      </c>
      <c r="AJ3" t="n">
        <v/>
      </c>
      <c r="AL3" t="n">
        <v/>
      </c>
      <c r="AM3" t="n">
        <v/>
      </c>
      <c r="AN3" t="n">
        <v/>
      </c>
      <c r="AO3" t="n">
        <v/>
      </c>
    </row>
    <row r="4" ht="15" customHeight="1">
      <c r="A4" t="inlineStr">
        <is>
          <t>Slaktarberget</t>
        </is>
      </c>
      <c r="B4" t="inlineStr">
        <is>
          <t>avverkningsanmälan</t>
        </is>
      </c>
      <c r="D4" s="1" t="n">
        <v>46222</v>
      </c>
      <c r="E4" s="1" t="n">
        <v>46222</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HYPERLINK("https://klasma.github.io/Logging_FORSKNINGSRESAN_2024/kartor_geotiff/Slaktarberget georefererad karta.tif", "Slaktarberget")</f>
        <v/>
      </c>
      <c r="Y4">
        <f>HYPERLINK("https://klasma.github.io/Logging_FORSKNINGSRESAN_2024/knärot/Slaktarberget karta knärot.png", "Slaktarberget")</f>
        <v/>
      </c>
      <c r="Z4">
        <f>HYPERLINK("https://klasma.github.io/Logging_FORSKNINGSRESAN_2024/klagomål/Slaktarberget FSC-klagomål.docx", "Slaktarberget")</f>
        <v/>
      </c>
      <c r="AA4">
        <f>HYPERLINK("https://klasma.github.io/Logging_FORSKNINGSRESAN_2024/klagomålsmail/Slaktarberget FSC-klagomål mail.docx", "Slaktarberget")</f>
        <v/>
      </c>
      <c r="AB4">
        <f>HYPERLINK("https://klasma.github.io/Logging_FORSKNINGSRESAN_2024/tillsyn/Slaktarberget tillsynsbegäran.docx", "Slaktarberget")</f>
        <v/>
      </c>
      <c r="AC4">
        <f>HYPERLINK("https://klasma.github.io/Logging_FORSKNINGSRESAN_2024/tillsynsmail/Slaktarberget tillsynsbegäran mail.docx", "Slaktarberget")</f>
        <v/>
      </c>
      <c r="AD4">
        <f>HYPERLINK("https://klasma.github.io/Logging_FORSKNINGSRESAN_2024/fåglar/Slaktarberget prioriterade fågelarter.docx", "Slaktarberget")</f>
        <v/>
      </c>
      <c r="AE4" t="inlineStr">
        <is>
          <t>Domstol fattat interimistiskt beslut att stoppa avv 150724</t>
        </is>
      </c>
      <c r="AF4" t="inlineStr">
        <is>
          <t>Sveaskog</t>
        </is>
      </c>
      <c r="AG4" t="n">
        <v/>
      </c>
      <c r="AH4" t="inlineStr">
        <is>
          <t>1</t>
        </is>
      </c>
      <c r="AI4" t="n">
        <v/>
      </c>
      <c r="AJ4" t="inlineStr">
        <is>
          <t>intressant</t>
        </is>
      </c>
      <c r="AL4" t="n">
        <v/>
      </c>
      <c r="AM4" t="n">
        <v/>
      </c>
      <c r="AN4" t="inlineStr">
        <is>
          <t>Höga naturvärden klass 2.</t>
        </is>
      </c>
      <c r="AO4" t="inlineStr">
        <is>
          <t>A 29088-2023, inkom 230628</t>
        </is>
      </c>
    </row>
    <row r="5" ht="15" customHeight="1">
      <c r="A5" t="inlineStr">
        <is>
          <t>Stenberget-Klockartjärnen</t>
        </is>
      </c>
      <c r="B5" t="inlineStr">
        <is>
          <t>avverkningsanmälan</t>
        </is>
      </c>
      <c r="D5" s="1" t="n">
        <v>46222</v>
      </c>
      <c r="E5" s="1" t="n">
        <v>46222</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X5">
        <f>HYPERLINK("https://klasma.github.io/Logging_FORSKNINGSRESAN_2024/kartor_geotiff/Stenberget-Klockartjärnen georefererad karta.tif", "Stenberget-Klockartjärnen")</f>
        <v/>
      </c>
      <c r="Z5">
        <f>HYPERLINK("https://klasma.github.io/Logging_FORSKNINGSRESAN_2024/klagomål/Stenberget-Klockartjärnen FSC-klagomål.docx", "Stenberget-Klockartjärnen")</f>
        <v/>
      </c>
      <c r="AA5">
        <f>HYPERLINK("https://klasma.github.io/Logging_FORSKNINGSRESAN_2024/klagomålsmail/Stenberget-Klockartjärnen FSC-klagomål mail.docx", "Stenberget-Klockartjärnen")</f>
        <v/>
      </c>
      <c r="AB5">
        <f>HYPERLINK("https://klasma.github.io/Logging_FORSKNINGSRESAN_2024/tillsyn/Stenberget-Klockartjärnen tillsynsbegäran.docx", "Stenberget-Klockartjärnen")</f>
        <v/>
      </c>
      <c r="AC5">
        <f>HYPERLINK("https://klasma.github.io/Logging_FORSKNINGSRESAN_2024/tillsynsmail/Stenberget-Klockartjärnen tillsynsbegäran mail.docx", "Stenberget-Klockartjärnen")</f>
        <v/>
      </c>
      <c r="AD5">
        <f>HYPERLINK("https://klasma.github.io/Logging_FORSKNINGSRESAN_2024/fåglar/Stenberget-Klockartjärnen prioriterade fågelarter.docx", "Stenberget-Klockartjärnen")</f>
        <v/>
      </c>
      <c r="AE5" t="n">
        <v/>
      </c>
      <c r="AF5" t="inlineStr">
        <is>
          <t>SCA</t>
        </is>
      </c>
      <c r="AG5" t="n">
        <v/>
      </c>
      <c r="AH5" t="inlineStr">
        <is>
          <t>1-2</t>
        </is>
      </c>
      <c r="AI5" t="n">
        <v/>
      </c>
      <c r="AJ5" t="inlineStr">
        <is>
          <t>högintressant</t>
        </is>
      </c>
      <c r="AL5" t="n">
        <v/>
      </c>
      <c r="AM5" t="inlineStr">
        <is>
          <t>Hela området inom LST bevakskikt</t>
        </is>
      </c>
      <c r="AN5" t="inlineStr">
        <is>
          <t>Mycket höga naturvärden. klass 1.</t>
        </is>
      </c>
      <c r="AO5" t="n">
        <v/>
      </c>
    </row>
    <row r="6" ht="15" customHeight="1">
      <c r="A6" t="inlineStr">
        <is>
          <t>Suddiesjávrrie</t>
        </is>
      </c>
      <c r="B6" t="inlineStr">
        <is>
          <t>avverkningsanmälan</t>
        </is>
      </c>
      <c r="D6" s="1" t="n">
        <v>46222</v>
      </c>
      <c r="E6" s="1" t="n">
        <v>46222</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X6">
        <f>HYPERLINK("https://klasma.github.io/Logging_FORSKNINGSRESAN_2024/kartor_geotiff/Suddiesjávrrie georefererad karta.tif", "Suddiesjávrrie")</f>
        <v/>
      </c>
      <c r="Z6">
        <f>HYPERLINK("https://klasma.github.io/Logging_FORSKNINGSRESAN_2024/klagomål/Suddiesjávrrie FSC-klagomål.docx", "Suddiesjávrrie")</f>
        <v/>
      </c>
      <c r="AA6">
        <f>HYPERLINK("https://klasma.github.io/Logging_FORSKNINGSRESAN_2024/klagomålsmail/Suddiesjávrrie FSC-klagomål mail.docx", "Suddiesjávrrie")</f>
        <v/>
      </c>
      <c r="AB6">
        <f>HYPERLINK("https://klasma.github.io/Logging_FORSKNINGSRESAN_2024/tillsyn/Suddiesjávrrie tillsynsbegäran.docx", "Suddiesjávrrie")</f>
        <v/>
      </c>
      <c r="AC6">
        <f>HYPERLINK("https://klasma.github.io/Logging_FORSKNINGSRESAN_2024/tillsynsmail/Suddiesjávrrie tillsynsbegäran mail.docx", "Suddiesjávrrie")</f>
        <v/>
      </c>
      <c r="AD6">
        <f>HYPERLINK("https://klasma.github.io/Logging_FORSKNINGSRESAN_2024/fåglar/Suddiesjávrrie prioriterade fågelarter.docx", "Suddiesjávrrie")</f>
        <v/>
      </c>
      <c r="AE6" t="n">
        <v/>
      </c>
      <c r="AF6" t="inlineStr">
        <is>
          <t>Sveaskog</t>
        </is>
      </c>
      <c r="AG6" t="n">
        <v/>
      </c>
      <c r="AH6" t="inlineStr">
        <is>
          <t>1 nybrgr</t>
        </is>
      </c>
      <c r="AI6" t="inlineStr">
        <is>
          <t>Tallskog med hög ålder. Avv.anm. i Ö</t>
        </is>
      </c>
      <c r="AJ6" t="n">
        <v/>
      </c>
      <c r="AL6" t="n">
        <v/>
      </c>
      <c r="AM6" t="inlineStr">
        <is>
          <t>ca 50%</t>
        </is>
      </c>
      <c r="AN6" t="n">
        <v/>
      </c>
      <c r="AO6" t="inlineStr">
        <is>
          <t>A 34531-2023, inkom 230802</t>
        </is>
      </c>
    </row>
    <row r="7" ht="15" customHeight="1">
      <c r="A7" t="inlineStr">
        <is>
          <t>Suöbdieke NÖ</t>
        </is>
      </c>
      <c r="B7" t="inlineStr">
        <is>
          <t>avverkningsanmälan</t>
        </is>
      </c>
      <c r="D7" s="1" t="n">
        <v>46222</v>
      </c>
      <c r="E7" s="1" t="n">
        <v>46222</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X7">
        <f>HYPERLINK("https://klasma.github.io/Logging_FORSKNINGSRESAN_2024/kartor_geotiff/Suöbdieke NÖ georefererad karta.tif", "Suöbdieke NÖ")</f>
        <v/>
      </c>
      <c r="Z7">
        <f>HYPERLINK("https://klasma.github.io/Logging_FORSKNINGSRESAN_2024/klagomål/Suöbdieke NÖ FSC-klagomål.docx", "Suöbdieke NÖ")</f>
        <v/>
      </c>
      <c r="AA7">
        <f>HYPERLINK("https://klasma.github.io/Logging_FORSKNINGSRESAN_2024/klagomålsmail/Suöbdieke NÖ FSC-klagomål mail.docx", "Suöbdieke NÖ")</f>
        <v/>
      </c>
      <c r="AB7">
        <f>HYPERLINK("https://klasma.github.io/Logging_FORSKNINGSRESAN_2024/tillsyn/Suöbdieke NÖ tillsynsbegäran.docx", "Suöbdieke NÖ")</f>
        <v/>
      </c>
      <c r="AC7">
        <f>HYPERLINK("https://klasma.github.io/Logging_FORSKNINGSRESAN_2024/tillsynsmail/Suöbdieke NÖ tillsynsbegäran mail.docx", "Suöbdieke NÖ")</f>
        <v/>
      </c>
      <c r="AD7">
        <f>HYPERLINK("https://klasma.github.io/Logging_FORSKNINGSRESAN_2024/fåglar/Suöbdieke NÖ prioriterade fågelarter.docx", "Suöbdieke NÖ")</f>
        <v/>
      </c>
      <c r="AE7" t="n">
        <v/>
      </c>
      <c r="AF7" t="inlineStr">
        <is>
          <t>Sveaskog</t>
        </is>
      </c>
      <c r="AG7" t="n">
        <v/>
      </c>
      <c r="AH7" t="inlineStr">
        <is>
          <t>1</t>
        </is>
      </c>
      <c r="AI7" t="n">
        <v/>
      </c>
      <c r="AJ7" t="n">
        <v/>
      </c>
      <c r="AL7" t="n">
        <v/>
      </c>
      <c r="AM7" t="inlineStr">
        <is>
          <t>PF el PG klassat</t>
        </is>
      </c>
      <c r="AN7" t="n">
        <v/>
      </c>
      <c r="AO7" t="n">
        <v/>
      </c>
    </row>
    <row r="8" ht="15" customHeight="1">
      <c r="A8" t="inlineStr">
        <is>
          <t>Björnideforsen B</t>
        </is>
      </c>
      <c r="B8" t="inlineStr">
        <is>
          <t>avverkningsanmälan</t>
        </is>
      </c>
      <c r="D8" s="1" t="n">
        <v>46222</v>
      </c>
      <c r="E8" s="1" t="n">
        <v>46222</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X8">
        <f>HYPERLINK("https://klasma.github.io/Logging_FORSKNINGSRESAN_2024/kartor_geotiff/Björnideforsen B georefererad karta.tif", "Björnideforsen B")</f>
        <v/>
      </c>
      <c r="Z8">
        <f>HYPERLINK("https://klasma.github.io/Logging_FORSKNINGSRESAN_2024/klagomål/Björnideforsen B FSC-klagomål.docx", "Björnideforsen B")</f>
        <v/>
      </c>
      <c r="AA8">
        <f>HYPERLINK("https://klasma.github.io/Logging_FORSKNINGSRESAN_2024/klagomålsmail/Björnideforsen B FSC-klagomål mail.docx", "Björnideforsen B")</f>
        <v/>
      </c>
      <c r="AB8">
        <f>HYPERLINK("https://klasma.github.io/Logging_FORSKNINGSRESAN_2024/tillsyn/Björnideforsen B tillsynsbegäran.docx", "Björnideforsen B")</f>
        <v/>
      </c>
      <c r="AC8">
        <f>HYPERLINK("https://klasma.github.io/Logging_FORSKNINGSRESAN_2024/tillsynsmail/Björnideforsen B tillsynsbegäran mail.docx", "Björnideforsen B")</f>
        <v/>
      </c>
      <c r="AD8">
        <f>HYPERLINK("https://klasma.github.io/Logging_FORSKNINGSRESAN_2024/fåglar/Björnideforsen B prioriterade fågelarter.docx", "Björnideforsen B")</f>
        <v/>
      </c>
      <c r="AE8" t="n">
        <v/>
      </c>
      <c r="AF8" t="inlineStr">
        <is>
          <t>Sveaskog</t>
        </is>
      </c>
      <c r="AG8" t="n">
        <v/>
      </c>
      <c r="AH8" t="inlineStr">
        <is>
          <t>1-2</t>
        </is>
      </c>
      <c r="AI8" t="inlineStr">
        <is>
          <t>Äldre skog i ekopark PG/PF/NS.</t>
        </is>
      </c>
      <c r="AJ8" t="n">
        <v/>
      </c>
      <c r="AL8" t="n">
        <v/>
      </c>
      <c r="AM8" t="n">
        <v/>
      </c>
      <c r="AN8" t="n">
        <v/>
      </c>
      <c r="AO8" t="n">
        <v/>
      </c>
    </row>
    <row r="9" ht="15" customHeight="1">
      <c r="A9" t="inlineStr">
        <is>
          <t>Avvanm 36411</t>
        </is>
      </c>
      <c r="B9" t="inlineStr">
        <is>
          <t>avverkningsanmälan</t>
        </is>
      </c>
      <c r="D9" s="1" t="n">
        <v>46222</v>
      </c>
      <c r="E9" s="1" t="n">
        <v>46222</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X9">
        <f>HYPERLINK("https://klasma.github.io/Logging_FORSKNINGSRESAN_2024/kartor_geotiff/Avvanm 36411 georefererad karta.tif", "Avvanm 36411")</f>
        <v/>
      </c>
      <c r="Z9">
        <f>HYPERLINK("https://klasma.github.io/Logging_FORSKNINGSRESAN_2024/klagomål/Avvanm 36411 FSC-klagomål.docx", "Avvanm 36411")</f>
        <v/>
      </c>
      <c r="AA9">
        <f>HYPERLINK("https://klasma.github.io/Logging_FORSKNINGSRESAN_2024/klagomålsmail/Avvanm 36411 FSC-klagomål mail.docx", "Avvanm 36411")</f>
        <v/>
      </c>
      <c r="AB9">
        <f>HYPERLINK("https://klasma.github.io/Logging_FORSKNINGSRESAN_2024/tillsyn/Avvanm 36411 tillsynsbegäran.docx", "Avvanm 36411")</f>
        <v/>
      </c>
      <c r="AC9">
        <f>HYPERLINK("https://klasma.github.io/Logging_FORSKNINGSRESAN_2024/tillsynsmail/Avvanm 36411 tillsynsbegäran mail.docx", "Avvanm 36411")</f>
        <v/>
      </c>
      <c r="AD9">
        <f>HYPERLINK("https://klasma.github.io/Logging_FORSKNINGSRESAN_2024/fåglar/Avvanm 36411 prioriterade fågelarter.docx", "Avvanm 36411")</f>
        <v/>
      </c>
      <c r="AE9" t="n">
        <v/>
      </c>
      <c r="AF9" t="inlineStr">
        <is>
          <t>Sveaskog</t>
        </is>
      </c>
      <c r="AG9" t="n">
        <v/>
      </c>
      <c r="AH9" t="inlineStr">
        <is>
          <t>1-2</t>
        </is>
      </c>
      <c r="AI9" t="n">
        <v/>
      </c>
      <c r="AJ9" t="n">
        <v/>
      </c>
      <c r="AL9" t="n">
        <v/>
      </c>
      <c r="AM9" t="n">
        <v/>
      </c>
      <c r="AN9" t="n">
        <v/>
      </c>
      <c r="AO9" t="inlineStr">
        <is>
          <t>A 36411-2023, inkom 230814</t>
        </is>
      </c>
    </row>
    <row r="10" ht="15" customHeight="1">
      <c r="A10" t="inlineStr">
        <is>
          <t>Björnideforsen A</t>
        </is>
      </c>
      <c r="B10" t="inlineStr">
        <is>
          <t>avverkningsanmälan</t>
        </is>
      </c>
      <c r="D10" s="1" t="n">
        <v>46222</v>
      </c>
      <c r="E10" s="1" t="n">
        <v>46222</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X10">
        <f>HYPERLINK("https://klasma.github.io/Logging_FORSKNINGSRESAN_2024/kartor_geotiff/Björnideforsen A georefererad karta.tif", "Björnideforsen A")</f>
        <v/>
      </c>
      <c r="Z10">
        <f>HYPERLINK("https://klasma.github.io/Logging_FORSKNINGSRESAN_2024/klagomål/Björnideforsen A FSC-klagomål.docx", "Björnideforsen A")</f>
        <v/>
      </c>
      <c r="AA10">
        <f>HYPERLINK("https://klasma.github.io/Logging_FORSKNINGSRESAN_2024/klagomålsmail/Björnideforsen A FSC-klagomål mail.docx", "Björnideforsen A")</f>
        <v/>
      </c>
      <c r="AB10">
        <f>HYPERLINK("https://klasma.github.io/Logging_FORSKNINGSRESAN_2024/tillsyn/Björnideforsen A tillsynsbegäran.docx", "Björnideforsen A")</f>
        <v/>
      </c>
      <c r="AC10">
        <f>HYPERLINK("https://klasma.github.io/Logging_FORSKNINGSRESAN_2024/tillsynsmail/Björnideforsen A tillsynsbegäran mail.docx", "Björnideforsen A")</f>
        <v/>
      </c>
      <c r="AD10">
        <f>HYPERLINK("https://klasma.github.io/Logging_FORSKNINGSRESAN_2024/fåglar/Björnideforsen A prioriterade fågelarter.docx", "Björnideforsen A")</f>
        <v/>
      </c>
      <c r="AE10" t="n">
        <v/>
      </c>
      <c r="AF10" t="inlineStr">
        <is>
          <t>Sveaskog</t>
        </is>
      </c>
      <c r="AG10" t="n">
        <v/>
      </c>
      <c r="AH10" t="inlineStr">
        <is>
          <t>1-2</t>
        </is>
      </c>
      <c r="AI10" t="inlineStr">
        <is>
          <t>Äldre skog i ekopark</t>
        </is>
      </c>
      <c r="AJ10" t="inlineStr">
        <is>
          <t>intressant</t>
        </is>
      </c>
      <c r="AL10" t="n">
        <v/>
      </c>
      <c r="AM10" t="n">
        <v/>
      </c>
      <c r="AN10" t="inlineStr">
        <is>
          <t>Höga naturvärden klass 2.</t>
        </is>
      </c>
      <c r="AO10" t="n">
        <v/>
      </c>
    </row>
    <row r="11" ht="15" customHeight="1">
      <c r="A11" t="inlineStr">
        <is>
          <t>Njuorokvárátj</t>
        </is>
      </c>
      <c r="B11" t="inlineStr">
        <is>
          <t>avverkningsanmälan</t>
        </is>
      </c>
      <c r="D11" s="1" t="n">
        <v>46222</v>
      </c>
      <c r="E11" s="1" t="n">
        <v>46222</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X11">
        <f>HYPERLINK("https://klasma.github.io/Logging_FORSKNINGSRESAN_2024/kartor_geotiff/Njuorokvárátj georefererad karta.tif", "Njuorokvárátj")</f>
        <v/>
      </c>
      <c r="Z11">
        <f>HYPERLINK("https://klasma.github.io/Logging_FORSKNINGSRESAN_2024/klagomål/Njuorokvárátj FSC-klagomål.docx", "Njuorokvárátj")</f>
        <v/>
      </c>
      <c r="AA11">
        <f>HYPERLINK("https://klasma.github.io/Logging_FORSKNINGSRESAN_2024/klagomålsmail/Njuorokvárátj FSC-klagomål mail.docx", "Njuorokvárátj")</f>
        <v/>
      </c>
      <c r="AB11">
        <f>HYPERLINK("https://klasma.github.io/Logging_FORSKNINGSRESAN_2024/tillsyn/Njuorokvárátj tillsynsbegäran.docx", "Njuorokvárátj")</f>
        <v/>
      </c>
      <c r="AC11">
        <f>HYPERLINK("https://klasma.github.io/Logging_FORSKNINGSRESAN_2024/tillsynsmail/Njuorokvárátj tillsynsbegäran mail.docx", "Njuorokvárátj")</f>
        <v/>
      </c>
      <c r="AD11">
        <f>HYPERLINK("https://klasma.github.io/Logging_FORSKNINGSRESAN_2024/fåglar/Njuorokvárátj prioriterade fågelarter.docx", "Njuorokvárátj")</f>
        <v/>
      </c>
      <c r="AE11" t="n">
        <v/>
      </c>
      <c r="AF11" t="inlineStr">
        <is>
          <t>Sveaskog</t>
        </is>
      </c>
      <c r="AG11" t="n">
        <v/>
      </c>
      <c r="AH11" t="inlineStr">
        <is>
          <t>1</t>
        </is>
      </c>
      <c r="AI11" t="inlineStr">
        <is>
          <t>Avverkat +150-årig skog i ekoparken. Ansl. skog intressant.</t>
        </is>
      </c>
      <c r="AJ11" t="inlineStr">
        <is>
          <t>högintressant</t>
        </is>
      </c>
      <c r="AL11" t="inlineStr">
        <is>
          <t>Ekopark</t>
        </is>
      </c>
      <c r="AM11" t="n">
        <v/>
      </c>
      <c r="AN11" t="n">
        <v/>
      </c>
      <c r="AO11" t="n">
        <v/>
      </c>
    </row>
    <row r="12" ht="15" customHeight="1">
      <c r="A12" t="inlineStr">
        <is>
          <t>Gåbddieluoktta</t>
        </is>
      </c>
      <c r="B12" t="inlineStr">
        <is>
          <t>avverkningsanmälan</t>
        </is>
      </c>
      <c r="D12" s="1" t="n">
        <v>46222</v>
      </c>
      <c r="E12" s="1" t="n">
        <v>46222</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X12">
        <f>HYPERLINK("https://klasma.github.io/Logging_FORSKNINGSRESAN_2024/kartor_geotiff/Gåbddieluoktta georefererad karta.tif", "Gåbddieluoktta")</f>
        <v/>
      </c>
      <c r="Z12">
        <f>HYPERLINK("https://klasma.github.io/Logging_FORSKNINGSRESAN_2024/klagomål/Gåbddieluoktta FSC-klagomål.docx", "Gåbddieluoktta")</f>
        <v/>
      </c>
      <c r="AA12">
        <f>HYPERLINK("https://klasma.github.io/Logging_FORSKNINGSRESAN_2024/klagomålsmail/Gåbddieluoktta FSC-klagomål mail.docx", "Gåbddieluoktta")</f>
        <v/>
      </c>
      <c r="AB12">
        <f>HYPERLINK("https://klasma.github.io/Logging_FORSKNINGSRESAN_2024/tillsyn/Gåbddieluoktta tillsynsbegäran.docx", "Gåbddieluoktta")</f>
        <v/>
      </c>
      <c r="AC12">
        <f>HYPERLINK("https://klasma.github.io/Logging_FORSKNINGSRESAN_2024/tillsynsmail/Gåbddieluoktta tillsynsbegäran mail.docx", "Gåbddieluoktta")</f>
        <v/>
      </c>
      <c r="AD12">
        <f>HYPERLINK("https://klasma.github.io/Logging_FORSKNINGSRESAN_2024/fåglar/Gåbddieluoktta prioriterade fågelarter.docx", "Gåbddieluoktta")</f>
        <v/>
      </c>
      <c r="AE12" t="n">
        <v/>
      </c>
      <c r="AF12" t="inlineStr">
        <is>
          <t>Sveaskog</t>
        </is>
      </c>
      <c r="AG12" t="n">
        <v/>
      </c>
      <c r="AH12" t="inlineStr">
        <is>
          <t>1</t>
        </is>
      </c>
      <c r="AI12" t="inlineStr">
        <is>
          <t>Endast NB = FA, hög ålder.</t>
        </is>
      </c>
      <c r="AJ12" t="n">
        <v/>
      </c>
      <c r="AL12" t="n">
        <v/>
      </c>
      <c r="AM12" t="n">
        <v/>
      </c>
      <c r="AN12" t="n">
        <v/>
      </c>
      <c r="AO12" t="n">
        <v/>
      </c>
    </row>
    <row r="13">
      <c r="A13" t="inlineStr">
        <is>
          <t>Láttakjávrátje</t>
        </is>
      </c>
      <c r="B13" t="inlineStr">
        <is>
          <t>avverkningsanmälan</t>
        </is>
      </c>
      <c r="D13" s="1" t="n">
        <v>46222</v>
      </c>
      <c r="E13" s="1" t="n">
        <v>46222</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X13">
        <f>HYPERLINK("https://klasma.github.io/Logging_FORSKNINGSRESAN_2024/kartor_geotiff/Láttakjávrátje georefererad karta.tif", "Láttakjávrátje")</f>
        <v/>
      </c>
      <c r="Z13">
        <f>HYPERLINK("https://klasma.github.io/Logging_FORSKNINGSRESAN_2024/klagomål/Láttakjávrátje FSC-klagomål.docx", "Láttakjávrátje")</f>
        <v/>
      </c>
      <c r="AA13">
        <f>HYPERLINK("https://klasma.github.io/Logging_FORSKNINGSRESAN_2024/klagomålsmail/Láttakjávrátje FSC-klagomål mail.docx", "Láttakjávrátje")</f>
        <v/>
      </c>
      <c r="AB13">
        <f>HYPERLINK("https://klasma.github.io/Logging_FORSKNINGSRESAN_2024/tillsyn/Láttakjávrátje tillsynsbegäran.docx", "Láttakjávrátje")</f>
        <v/>
      </c>
      <c r="AC13">
        <f>HYPERLINK("https://klasma.github.io/Logging_FORSKNINGSRESAN_2024/tillsynsmail/Láttakjávrátje tillsynsbegäran mail.docx", "Láttakjávrátje")</f>
        <v/>
      </c>
      <c r="AD13">
        <f>HYPERLINK("https://klasma.github.io/Logging_FORSKNINGSRESAN_2024/fåglar/Láttakjávrátje prioriterade fågelarter.docx", "Láttakjávrátje")</f>
        <v/>
      </c>
      <c r="AE13" t="n">
        <v/>
      </c>
      <c r="AF13" t="inlineStr">
        <is>
          <t>Sveaskog</t>
        </is>
      </c>
      <c r="AG13" t="n">
        <v/>
      </c>
      <c r="AH13" t="inlineStr">
        <is>
          <t>1</t>
        </is>
      </c>
      <c r="AI13" t="inlineStr">
        <is>
          <t>Torr tallskog</t>
        </is>
      </c>
      <c r="AJ13" t="n">
        <v/>
      </c>
      <c r="AL13" t="n">
        <v/>
      </c>
      <c r="AM13" t="inlineStr">
        <is>
          <t>Hela området inom LST bevak</t>
        </is>
      </c>
      <c r="AN13" t="n">
        <v/>
      </c>
      <c r="AO13"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2026-07-19T19:57:05Z</dcterms:created>
  <dcterms:modified xmlns:dcterms="http://purl.org/dc/terms/" xmlns:xsi="http://www.w3.org/2001/XMLSchema-instance" xsi:type="dcterms:W3CDTF">2026-07-19T19:57:05Z</dcterms:modified>
</cp:coreProperties>
</file>